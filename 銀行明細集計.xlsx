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500" firstSheet="0" activeTab="1" autoFilterDateGrouping="1"/>
  </bookViews>
  <sheets>
    <sheet name="設定" sheetId="1" state="visible" r:id="rId1"/>
    <sheet name="統合決済履歴" sheetId="2" state="visible" r:id="rId2"/>
    <sheet name="月別集計" sheetId="3" state="visible" r:id="rId3"/>
    <sheet name="トータル集計" sheetId="4" state="visible" r:id="rId4"/>
  </sheets>
  <definedNames>
    <definedName name="_xlnm._FilterDatabase" localSheetId="1" hidden="1">'統合決済履歴'!$A$1:$K$198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.00_);[Red]\(#,##0.00\)"/>
  </numFmts>
  <fonts count="22">
    <font>
      <name val="Calibri"/>
      <charset val="1"/>
      <family val="2"/>
      <color theme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Noto Sans CJK SC"/>
      <family val="2"/>
      <sz val="10"/>
    </font>
    <font>
      <name val="Noto Sans CJK SC"/>
      <charset val="1"/>
      <family val="2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2"/>
      <sz val="10"/>
    </font>
    <font>
      <name val="Noto Sans CJK SC"/>
      <charset val="1"/>
      <family val="2"/>
      <sz val="10"/>
    </font>
    <font>
      <name val="Arial"/>
      <charset val="1"/>
      <family val="2"/>
      <color rgb="FF2F5496"/>
      <sz val="9"/>
    </font>
    <font>
      <name val="Noto Sans CJK SC"/>
      <family val="2"/>
      <color rgb="FF2F5496"/>
      <sz val="9"/>
    </font>
    <font>
      <name val="Arial"/>
      <charset val="1"/>
      <family val="2"/>
      <color rgb="FF548235"/>
      <sz val="9"/>
    </font>
    <font>
      <name val="Noto Sans CJK SC"/>
      <family val="2"/>
      <color rgb="FF548235"/>
      <sz val="9"/>
    </font>
    <font>
      <name val="Arial"/>
      <charset val="1"/>
      <family val="2"/>
      <color rgb="FF833C0C"/>
      <sz val="9"/>
    </font>
    <font>
      <name val="Noto Sans CJK SC"/>
      <family val="2"/>
      <color rgb="FF833C0C"/>
      <sz val="9"/>
    </font>
    <font>
      <name val="Arial"/>
      <family val="2"/>
      <b val="1"/>
      <color rgb="FF2F5496"/>
      <sz val="13"/>
    </font>
    <font>
      <name val="Noto Sans CJK SC"/>
      <family val="2"/>
      <b val="1"/>
      <color rgb="FF2F5496"/>
      <sz val="13"/>
    </font>
    <font>
      <name val="Arial"/>
      <family val="2"/>
      <b val="1"/>
      <color rgb="FFFFFFFF"/>
      <sz val="10"/>
    </font>
    <font>
      <name val="Noto Sans CJK SC"/>
      <family val="2"/>
      <b val="1"/>
      <sz val="10"/>
    </font>
    <font>
      <name val="Arial"/>
      <family val="2"/>
      <i val="1"/>
      <color rgb="FF808080"/>
      <sz val="9"/>
    </font>
    <font>
      <name val="Noto Sans CJK SC"/>
      <family val="2"/>
      <i val="1"/>
      <color rgb="FF808080"/>
      <sz val="9"/>
    </font>
    <font>
      <name val="ＭＳ Ｐゴシック"/>
      <charset val="128"/>
      <family val="3"/>
      <sz val="6"/>
    </font>
  </fonts>
  <fills count="11">
    <fill>
      <patternFill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DDEBF7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CE4EC"/>
        <bgColor rgb="FFFBE5D6"/>
      </patternFill>
    </fill>
    <fill>
      <patternFill patternType="solid">
        <fgColor rgb="FFE2EFDA"/>
        <bgColor rgb="FFDDEBF7"/>
      </patternFill>
    </fill>
    <fill>
      <patternFill patternType="solid">
        <fgColor rgb="FFFBE5D6"/>
        <bgColor rgb="FFFCE4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8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7" fillId="4" borderId="1" pivotButton="0" quotePrefix="0" xfId="0"/>
    <xf numFmtId="164" fontId="7" fillId="4" borderId="1" pivotButton="0" quotePrefix="0" xfId="0"/>
    <xf numFmtId="0" fontId="8" fillId="4" borderId="1" pivotButton="0" quotePrefix="0" xfId="0"/>
    <xf numFmtId="0" fontId="9" fillId="4" borderId="1" pivotButton="0" quotePrefix="0" xfId="0"/>
    <xf numFmtId="0" fontId="2" fillId="0" borderId="1" applyAlignment="1" pivotButton="0" quotePrefix="0" xfId="0">
      <alignment horizontal="center"/>
    </xf>
    <xf numFmtId="0" fontId="7" fillId="5" borderId="1" pivotButton="0" quotePrefix="0" xfId="0"/>
    <xf numFmtId="4" fontId="7" fillId="4" borderId="1" pivotButton="0" quotePrefix="0" xfId="0"/>
    <xf numFmtId="0" fontId="11" fillId="4" borderId="1" pivotButton="0" quotePrefix="0" xfId="0"/>
    <xf numFmtId="4" fontId="7" fillId="0" borderId="1" pivotButton="0" quotePrefix="0" xfId="0"/>
    <xf numFmtId="0" fontId="11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8" fillId="6" borderId="1" pivotButton="0" quotePrefix="0" xfId="0"/>
    <xf numFmtId="0" fontId="13" fillId="4" borderId="1" pivotButton="0" quotePrefix="0" xfId="0"/>
    <xf numFmtId="0" fontId="13" fillId="0" borderId="1" pivotButton="0" quotePrefix="0" xfId="0"/>
    <xf numFmtId="0" fontId="15" fillId="0" borderId="0" pivotButton="0" quotePrefix="0" xfId="0"/>
    <xf numFmtId="0" fontId="17" fillId="2" borderId="1" applyAlignment="1" pivotButton="0" quotePrefix="0" xfId="0">
      <alignment horizontal="center" vertical="center"/>
    </xf>
    <xf numFmtId="0" fontId="2" fillId="0" borderId="1" pivotButton="0" quotePrefix="0" xfId="0"/>
    <xf numFmtId="40" fontId="2" fillId="0" borderId="1" pivotButton="0" quotePrefix="0" xfId="0"/>
    <xf numFmtId="38" fontId="2" fillId="0" borderId="1" pivotButton="0" quotePrefix="0" xfId="0"/>
    <xf numFmtId="0" fontId="2" fillId="6" borderId="1" pivotButton="0" quotePrefix="0" xfId="0"/>
    <xf numFmtId="40" fontId="2" fillId="6" borderId="1" pivotButton="0" quotePrefix="0" xfId="0"/>
    <xf numFmtId="38" fontId="2" fillId="6" borderId="1" pivotButton="0" quotePrefix="0" xfId="0"/>
    <xf numFmtId="0" fontId="18" fillId="0" borderId="1" pivotButton="0" quotePrefix="0" xfId="0"/>
    <xf numFmtId="40" fontId="3" fillId="7" borderId="1" pivotButton="0" quotePrefix="0" xfId="0"/>
    <xf numFmtId="3" fontId="3" fillId="7" borderId="1" pivotButton="0" quotePrefix="0" xfId="0"/>
    <xf numFmtId="0" fontId="2" fillId="8" borderId="1" pivotButton="0" quotePrefix="0" xfId="0"/>
    <xf numFmtId="40" fontId="2" fillId="8" borderId="1" pivotButton="0" quotePrefix="0" xfId="0"/>
    <xf numFmtId="38" fontId="2" fillId="8" borderId="1" pivotButton="0" quotePrefix="0" xfId="0"/>
    <xf numFmtId="0" fontId="2" fillId="9" borderId="1" pivotButton="0" quotePrefix="0" xfId="0"/>
    <xf numFmtId="40" fontId="2" fillId="9" borderId="1" pivotButton="0" quotePrefix="0" xfId="0"/>
    <xf numFmtId="38" fontId="2" fillId="9" borderId="1" pivotButton="0" quotePrefix="0" xfId="0"/>
    <xf numFmtId="0" fontId="2" fillId="5" borderId="1" pivotButton="0" quotePrefix="0" xfId="0"/>
    <xf numFmtId="40" fontId="2" fillId="5" borderId="1" pivotButton="0" quotePrefix="0" xfId="0"/>
    <xf numFmtId="38" fontId="2" fillId="5" borderId="1" pivotButton="0" quotePrefix="0" xfId="0"/>
    <xf numFmtId="0" fontId="2" fillId="10" borderId="1" pivotButton="0" quotePrefix="0" xfId="0"/>
    <xf numFmtId="40" fontId="2" fillId="10" borderId="1" pivotButton="0" quotePrefix="0" xfId="0"/>
    <xf numFmtId="38" fontId="2" fillId="10" borderId="1" pivotButton="0" quotePrefix="0" xfId="0"/>
    <xf numFmtId="0" fontId="19" fillId="0" borderId="0" pivotButton="0" quotePrefix="0" xfId="0"/>
    <xf numFmtId="0" fontId="16" fillId="0" borderId="0" pivotButton="0" quotePrefix="0" xfId="0"/>
    <xf numFmtId="0" fontId="20" fillId="0" borderId="0" pivotButton="0" quotePrefix="0" xfId="0"/>
    <xf numFmtId="164" fontId="7" fillId="0" borderId="1" pivotButton="0" quotePrefix="0" xfId="0"/>
  </cellXfs>
  <cellStyles count="1">
    <cellStyle name="標準" xfId="0" builtinId="0"/>
  </cellStyles>
  <dxfs count="4"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color rgb="FFA8006B"/>
        <sz val="10"/>
      </font>
      <fill>
        <patternFill>
          <bgColor rgb="FFFCE4EC"/>
        </patternFill>
      </fill>
    </dxf>
    <dxf>
      <font>
        <name val="Arial"/>
        <charset val="1"/>
        <color rgb="FF1F4E78"/>
        <sz val="10"/>
      </font>
      <fill>
        <patternFill>
          <bgColor rgb="FFDDEBF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8000"/>
      <rgbColor rgb="FF000080"/>
      <rgbColor rgb="FF548235"/>
      <rgbColor rgb="FFA8006B"/>
      <rgbColor rgb="FF008080"/>
      <rgbColor rgb="FFFBE5D6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FCE4E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833C0C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Normal="100" workbookViewId="0">
      <selection activeCell="A1" sqref="A1"/>
    </sheetView>
  </sheetViews>
  <sheetFormatPr baseColWidth="8" defaultColWidth="8.6640625" defaultRowHeight="14.4"/>
  <cols>
    <col width="12" customWidth="1" min="1" max="1"/>
    <col width="10" customWidth="1" min="2" max="2"/>
    <col width="6" customWidth="1" min="3" max="3"/>
  </cols>
  <sheetData>
    <row r="1">
      <c r="A1" s="1" t="inlineStr">
        <is>
          <t>為替レート設定（必要に応じて数値を書き換えてください）</t>
        </is>
      </c>
    </row>
    <row r="3">
      <c r="A3" s="2" t="inlineStr">
        <is>
          <t>1 GBP =</t>
        </is>
      </c>
      <c r="B3" s="3" t="n">
        <v>216</v>
      </c>
      <c r="C3" s="4" t="inlineStr">
        <is>
          <t>円</t>
        </is>
      </c>
    </row>
    <row r="4">
      <c r="A4" s="2" t="inlineStr">
        <is>
          <t>1 EUR =</t>
        </is>
      </c>
      <c r="B4" s="3" t="n">
        <v>185</v>
      </c>
      <c r="C4" s="4" t="inlineStr">
        <is>
          <t>円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8"/>
  <sheetViews>
    <sheetView tabSelected="1" topLeftCell="B1" zoomScaleNormal="100" workbookViewId="0">
      <pane ySplit="1" topLeftCell="A2" activePane="bottomLeft" state="frozen"/>
      <selection pane="bottomLeft" activeCell="N14" sqref="N14"/>
    </sheetView>
  </sheetViews>
  <sheetFormatPr baseColWidth="8" defaultColWidth="8.6640625" defaultRowHeight="14.4"/>
  <cols>
    <col width="12" customWidth="1" min="1" max="1"/>
    <col width="32" customWidth="1" min="2" max="2"/>
    <col width="12" customWidth="1" min="3" max="3"/>
    <col width="8" customWidth="1" min="4" max="4"/>
    <col width="12" customWidth="1" min="5" max="6"/>
    <col width="14" customWidth="1" min="7" max="8"/>
    <col width="38" customWidth="1" min="9" max="9"/>
    <col width="12" customWidth="1" min="10" max="11"/>
  </cols>
  <sheetData>
    <row r="1" ht="14.25" customHeight="1">
      <c r="A1" s="5" t="inlineStr">
        <is>
          <t>日付</t>
        </is>
      </c>
      <c r="B1" s="5" t="inlineStr">
        <is>
          <t>摘要（加盟店等）</t>
        </is>
      </c>
      <c r="C1" s="5" t="inlineStr">
        <is>
          <t>金額</t>
        </is>
      </c>
      <c r="D1" s="5" t="inlineStr">
        <is>
          <t>通貨</t>
        </is>
      </c>
      <c r="E1" s="5" t="inlineStr">
        <is>
          <t>種別</t>
        </is>
      </c>
      <c r="F1" s="5" t="inlineStr">
        <is>
          <t>ステータス</t>
        </is>
      </c>
      <c r="G1" s="5" t="inlineStr">
        <is>
          <t>カテゴリ</t>
        </is>
      </c>
      <c r="H1" s="5" t="inlineStr">
        <is>
          <t>残高</t>
        </is>
      </c>
      <c r="I1" s="5" t="inlineStr">
        <is>
          <t>取引元ファイル</t>
        </is>
      </c>
      <c r="J1" s="5" t="inlineStr">
        <is>
          <t>集計対象</t>
        </is>
      </c>
      <c r="K1" s="6" t="inlineStr">
        <is>
          <t>年月</t>
        </is>
      </c>
    </row>
    <row r="2" ht="15" customHeight="1">
      <c r="A2" s="7" t="inlineStr">
        <is>
          <t>2026-09-30</t>
        </is>
      </c>
      <c r="B2" s="7" t="inlineStr">
        <is>
          <t>Uber</t>
        </is>
      </c>
      <c r="C2" s="54" t="n">
        <v>-19.15</v>
      </c>
      <c r="D2" s="7" t="inlineStr">
        <is>
          <t>EUR</t>
        </is>
      </c>
      <c r="E2" s="9" t="inlineStr">
        <is>
          <t>カード決済</t>
        </is>
      </c>
      <c r="F2" s="7" t="inlineStr">
        <is>
          <t>COMPLETED</t>
        </is>
      </c>
      <c r="G2" s="7" t="inlineStr">
        <is>
          <t>Transport</t>
        </is>
      </c>
      <c r="H2" s="7" t="n"/>
      <c r="I2" s="10" t="inlineStr">
        <is>
          <t>exported-activities.pdf（Wiseカード）</t>
        </is>
      </c>
      <c r="J2" s="11" t="inlineStr">
        <is>
          <t>共通</t>
        </is>
      </c>
      <c r="K2" s="12">
        <f>TEXT(A2,"YYYY-MM")</f>
        <v/>
      </c>
    </row>
    <row r="3" ht="15" customHeight="1">
      <c r="A3" s="7" t="inlineStr">
        <is>
          <t>2026-09-30</t>
        </is>
      </c>
      <c r="B3" s="7" t="inlineStr">
        <is>
          <t>MAYA MORIさんへの送金（Uber差額分！）</t>
        </is>
      </c>
      <c r="C3" s="54" t="n">
        <v>-1.6</v>
      </c>
      <c r="D3" s="7" t="inlineStr">
        <is>
          <t>EUR</t>
        </is>
      </c>
      <c r="E3" s="9" t="inlineStr">
        <is>
          <t>送金/入出金</t>
        </is>
      </c>
      <c r="F3" s="7" t="inlineStr">
        <is>
          <t>COMPLETED</t>
        </is>
      </c>
      <c r="G3" s="7" t="inlineStr">
        <is>
          <t>General</t>
        </is>
      </c>
      <c r="H3" s="7" t="n">
        <v>18.26</v>
      </c>
      <c r="I3" s="10" t="inlineStr">
        <is>
          <t>account-statement_2026-09-01_2026-09-30_ja-jp_ec3fc3.pdf（Revolut）</t>
        </is>
      </c>
      <c r="J3" s="11" t="inlineStr">
        <is>
          <t>共通</t>
        </is>
      </c>
      <c r="K3" s="12">
        <f>TEXT(A3,"YYYY-MM")</f>
        <v/>
      </c>
    </row>
    <row r="4" ht="15" customHeight="1">
      <c r="A4" s="7" t="inlineStr">
        <is>
          <t>2026-09-30</t>
        </is>
      </c>
      <c r="B4" s="7" t="inlineStr">
        <is>
          <t>KAZUHIRO SHIGEMOTOさんからの送金</t>
        </is>
      </c>
      <c r="C4" s="54" t="n">
        <v>4.79</v>
      </c>
      <c r="D4" s="7" t="inlineStr">
        <is>
          <t>EUR</t>
        </is>
      </c>
      <c r="E4" s="9" t="inlineStr">
        <is>
          <t>送金/入出金</t>
        </is>
      </c>
      <c r="F4" s="7" t="inlineStr">
        <is>
          <t>COMPLETED</t>
        </is>
      </c>
      <c r="G4" s="7" t="inlineStr">
        <is>
          <t>Money added</t>
        </is>
      </c>
      <c r="H4" s="7" t="n">
        <v>19.86</v>
      </c>
      <c r="I4" s="10" t="inlineStr">
        <is>
          <t>account-statement_2026-09-01_2026-09-30_ja-jp_ec3fc3.pdf（Revolut）</t>
        </is>
      </c>
      <c r="J4" s="11" t="inlineStr">
        <is>
          <t>共通</t>
        </is>
      </c>
      <c r="K4" s="12">
        <f>TEXT(A4,"YYYY-MM")</f>
        <v/>
      </c>
    </row>
    <row r="5" ht="15" customHeight="1">
      <c r="A5" s="7" t="inlineStr">
        <is>
          <t>2026-09-28</t>
        </is>
      </c>
      <c r="B5" s="7" t="inlineStr">
        <is>
          <t>Espace Lavage</t>
        </is>
      </c>
      <c r="C5" s="54" t="n">
        <v>-10</v>
      </c>
      <c r="D5" s="7" t="inlineStr">
        <is>
          <t>EUR</t>
        </is>
      </c>
      <c r="E5" s="9" t="inlineStr">
        <is>
          <t>カード決済</t>
        </is>
      </c>
      <c r="F5" s="7" t="inlineStr">
        <is>
          <t>COMPLETED</t>
        </is>
      </c>
      <c r="G5" s="7" t="inlineStr">
        <is>
          <t>Bills</t>
        </is>
      </c>
      <c r="H5" s="7" t="n"/>
      <c r="I5" s="10" t="inlineStr">
        <is>
          <t>exported-activities.pdf（Wiseカード）</t>
        </is>
      </c>
      <c r="J5" s="11" t="inlineStr">
        <is>
          <t>共通</t>
        </is>
      </c>
      <c r="K5" s="12">
        <f>TEXT(A5,"YYYY-MM")</f>
        <v/>
      </c>
    </row>
    <row r="6" ht="15" customHeight="1">
      <c r="A6" s="7" t="inlineStr">
        <is>
          <t>2026-09-26</t>
        </is>
      </c>
      <c r="B6" s="7" t="inlineStr">
        <is>
          <t>MASAHIRO KAWAMURAさんからの送金（タクシー代）</t>
        </is>
      </c>
      <c r="C6" s="54" t="n">
        <v>15</v>
      </c>
      <c r="D6" s="7" t="inlineStr">
        <is>
          <t>EUR</t>
        </is>
      </c>
      <c r="E6" s="9" t="inlineStr">
        <is>
          <t>送金/入出金</t>
        </is>
      </c>
      <c r="F6" s="7" t="inlineStr">
        <is>
          <t>COMPLETED</t>
        </is>
      </c>
      <c r="G6" s="7" t="inlineStr">
        <is>
          <t>Money added</t>
        </is>
      </c>
      <c r="H6" s="7" t="n">
        <v>15.07</v>
      </c>
      <c r="I6" s="10" t="inlineStr">
        <is>
          <t>account-statement_2026-09-01_2026-09-30_ja-jp_ec3fc3.pdf（Revolut）</t>
        </is>
      </c>
      <c r="J6" s="11" t="inlineStr">
        <is>
          <t>共通</t>
        </is>
      </c>
      <c r="K6" s="12">
        <f>TEXT(A6,"YYYY-MM")</f>
        <v/>
      </c>
    </row>
    <row r="7" ht="15" customHeight="1">
      <c r="A7" s="7" t="inlineStr">
        <is>
          <t>2026-09-26</t>
        </is>
      </c>
      <c r="B7" s="7" t="inlineStr">
        <is>
          <t>MASAHIRO KAWAHATAさんへの送金</t>
        </is>
      </c>
      <c r="C7" s="54" t="n">
        <v>-30</v>
      </c>
      <c r="D7" s="7" t="inlineStr">
        <is>
          <t>EUR</t>
        </is>
      </c>
      <c r="E7" s="9" t="inlineStr">
        <is>
          <t>送金/入出金</t>
        </is>
      </c>
      <c r="F7" s="7" t="inlineStr">
        <is>
          <t>COMPLETED</t>
        </is>
      </c>
      <c r="G7" s="7" t="inlineStr">
        <is>
          <t>General</t>
        </is>
      </c>
      <c r="H7" s="7" t="n">
        <v>0.07000000000000001</v>
      </c>
      <c r="I7" s="10" t="inlineStr">
        <is>
          <t>account-statement_2026-09-01_2026-09-30_ja-jp_ec3fc3.pdf（Revolut）</t>
        </is>
      </c>
      <c r="J7" s="11" t="inlineStr">
        <is>
          <t>共通</t>
        </is>
      </c>
      <c r="K7" s="12">
        <f>TEXT(A7,"YYYY-MM")</f>
        <v/>
      </c>
    </row>
    <row r="8" ht="15" customHeight="1">
      <c r="A8" s="7" t="inlineStr">
        <is>
          <t>2026-09-26</t>
        </is>
      </c>
      <c r="B8" s="7" t="inlineStr">
        <is>
          <t>AIRI HASUOさんからの送金（Uber）</t>
        </is>
      </c>
      <c r="C8" s="54" t="n">
        <v>15</v>
      </c>
      <c r="D8" s="7" t="inlineStr">
        <is>
          <t>EUR</t>
        </is>
      </c>
      <c r="E8" s="9" t="inlineStr">
        <is>
          <t>送金/入出金</t>
        </is>
      </c>
      <c r="F8" s="7" t="inlineStr">
        <is>
          <t>COMPLETED</t>
        </is>
      </c>
      <c r="G8" s="7" t="inlineStr">
        <is>
          <t>Money added</t>
        </is>
      </c>
      <c r="H8" s="7" t="n">
        <v>30.07</v>
      </c>
      <c r="I8" s="10" t="inlineStr">
        <is>
          <t>account-statement_2026-09-01_2026-09-30_ja-jp_ec3fc3.pdf（Revolut）</t>
        </is>
      </c>
      <c r="J8" s="11" t="inlineStr">
        <is>
          <t>共通</t>
        </is>
      </c>
      <c r="K8" s="12">
        <f>TEXT(A8,"YYYY-MM")</f>
        <v/>
      </c>
    </row>
    <row r="9" ht="15" customHeight="1">
      <c r="A9" s="7" t="inlineStr">
        <is>
          <t>2026-09-26</t>
        </is>
      </c>
      <c r="B9" s="7" t="inlineStr">
        <is>
          <t>TAKAHIRO YAMASHITAさんからの送金</t>
        </is>
      </c>
      <c r="C9" s="54" t="n">
        <v>15</v>
      </c>
      <c r="D9" s="7" t="inlineStr">
        <is>
          <t>EUR</t>
        </is>
      </c>
      <c r="E9" s="9" t="inlineStr">
        <is>
          <t>送金/入出金</t>
        </is>
      </c>
      <c r="F9" s="7" t="inlineStr">
        <is>
          <t>COMPLETED</t>
        </is>
      </c>
      <c r="G9" s="7" t="inlineStr">
        <is>
          <t>Money added</t>
        </is>
      </c>
      <c r="H9" s="7" t="n">
        <v>15.07</v>
      </c>
      <c r="I9" s="10" t="inlineStr">
        <is>
          <t>account-statement_2026-09-01_2026-09-30_ja-jp_ec3fc3.pdf（Revolut）</t>
        </is>
      </c>
      <c r="J9" s="11" t="inlineStr">
        <is>
          <t>共通</t>
        </is>
      </c>
      <c r="K9" s="12">
        <f>TEXT(A9,"YYYY-MM")</f>
        <v/>
      </c>
    </row>
    <row r="10" ht="15" customHeight="1">
      <c r="A10" s="7" t="inlineStr">
        <is>
          <t>2026-09-26</t>
        </is>
      </c>
      <c r="B10" s="7" t="inlineStr">
        <is>
          <t>L ARCHESTE</t>
        </is>
      </c>
      <c r="C10" s="54" t="n">
        <v>-426</v>
      </c>
      <c r="D10" s="7" t="inlineStr">
        <is>
          <t>EUR</t>
        </is>
      </c>
      <c r="E10" s="9" t="inlineStr">
        <is>
          <t>カード決済</t>
        </is>
      </c>
      <c r="F10" s="7" t="inlineStr">
        <is>
          <t>COMPLETED</t>
        </is>
      </c>
      <c r="G10" s="7" t="inlineStr">
        <is>
          <t>Eating out</t>
        </is>
      </c>
      <c r="H10" s="7" t="n"/>
      <c r="I10" s="10" t="inlineStr">
        <is>
          <t>meisai_20261003212728842.pdf（SMBC信託銀行カード）</t>
        </is>
      </c>
      <c r="J10" s="11" t="inlineStr">
        <is>
          <t>共通</t>
        </is>
      </c>
      <c r="K10" s="12">
        <f>TEXT(A10,"YYYY-MM")</f>
        <v/>
      </c>
    </row>
    <row r="11" ht="15" customHeight="1">
      <c r="A11" s="7" t="inlineStr">
        <is>
          <t>2026-09-26</t>
        </is>
      </c>
      <c r="B11" s="7" t="inlineStr">
        <is>
          <t>SC-CAFE FLORE</t>
        </is>
      </c>
      <c r="C11" s="54" t="n">
        <v>-17</v>
      </c>
      <c r="D11" s="7" t="inlineStr">
        <is>
          <t>EUR</t>
        </is>
      </c>
      <c r="E11" s="9" t="inlineStr">
        <is>
          <t>カード決済</t>
        </is>
      </c>
      <c r="F11" s="7" t="inlineStr">
        <is>
          <t>COMPLETED</t>
        </is>
      </c>
      <c r="G11" s="7" t="inlineStr">
        <is>
          <t>Eating out</t>
        </is>
      </c>
      <c r="H11" s="7" t="n">
        <v>94.29000000000001</v>
      </c>
      <c r="I11" s="10" t="inlineStr">
        <is>
          <t>meisai_20261003212728842.pdf（SMBC信託銀行カード）</t>
        </is>
      </c>
      <c r="J11" s="11" t="inlineStr">
        <is>
          <t>共通</t>
        </is>
      </c>
      <c r="K11" s="12">
        <f>TEXT(A11,"YYYY-MM")</f>
        <v/>
      </c>
    </row>
    <row r="12" ht="15" customHeight="1">
      <c r="A12" s="7" t="inlineStr">
        <is>
          <t>2026-09-26</t>
        </is>
      </c>
      <c r="B12" s="7" t="inlineStr">
        <is>
          <t>TLC</t>
        </is>
      </c>
      <c r="C12" s="54" t="n">
        <v>-34.5</v>
      </c>
      <c r="D12" s="7" t="inlineStr">
        <is>
          <t>EUR</t>
        </is>
      </c>
      <c r="E12" s="9" t="inlineStr">
        <is>
          <t>カード決済</t>
        </is>
      </c>
      <c r="F12" s="7" t="inlineStr">
        <is>
          <t>COMPLETED</t>
        </is>
      </c>
      <c r="G12" s="7" t="inlineStr">
        <is>
          <t>Transport</t>
        </is>
      </c>
      <c r="H12" s="7" t="n"/>
      <c r="I12" s="10" t="inlineStr">
        <is>
          <t>meisai_20261003212728842.pdf（SMBC信託銀行カード）</t>
        </is>
      </c>
      <c r="J12" s="11" t="inlineStr">
        <is>
          <t>共通</t>
        </is>
      </c>
      <c r="K12" s="12">
        <f>TEXT(A12,"YYYY-MM")</f>
        <v/>
      </c>
    </row>
    <row r="13" ht="15" customHeight="1">
      <c r="A13" s="7" t="inlineStr">
        <is>
          <t>2026-09-25</t>
        </is>
      </c>
      <c r="B13" s="7" t="inlineStr">
        <is>
          <t>Uber</t>
        </is>
      </c>
      <c r="C13" s="54" t="n">
        <v>-58.98</v>
      </c>
      <c r="D13" s="7" t="inlineStr">
        <is>
          <t>EUR</t>
        </is>
      </c>
      <c r="E13" s="9" t="inlineStr">
        <is>
          <t>カード決済</t>
        </is>
      </c>
      <c r="F13" s="7" t="inlineStr">
        <is>
          <t>COMPLETED</t>
        </is>
      </c>
      <c r="G13" s="7" t="inlineStr">
        <is>
          <t>Transport</t>
        </is>
      </c>
      <c r="H13" s="7" t="n"/>
      <c r="I13" s="10" t="inlineStr">
        <is>
          <t>exported-activities.pdf（Wiseカード）</t>
        </is>
      </c>
      <c r="J13" s="11" t="inlineStr">
        <is>
          <t>共通</t>
        </is>
      </c>
      <c r="K13" s="12">
        <f>TEXT(A13,"YYYY-MM")</f>
        <v/>
      </c>
    </row>
    <row r="14" ht="15" customHeight="1">
      <c r="A14" s="7" t="inlineStr">
        <is>
          <t>2026-09-25</t>
        </is>
      </c>
      <c r="B14" s="7" t="inlineStr">
        <is>
          <t>Moved to EUR (100 GBP)</t>
        </is>
      </c>
      <c r="C14" s="54" t="n">
        <v>115.81</v>
      </c>
      <c r="D14" s="7" t="inlineStr">
        <is>
          <t>EUR</t>
        </is>
      </c>
      <c r="E14" s="9" t="inlineStr">
        <is>
          <t>送金/入出金</t>
        </is>
      </c>
      <c r="F14" s="7" t="inlineStr">
        <is>
          <t>COMPLETED</t>
        </is>
      </c>
      <c r="G14" s="7" t="inlineStr">
        <is>
          <t>Money added</t>
        </is>
      </c>
      <c r="H14" s="7" t="n"/>
      <c r="I14" s="10" t="inlineStr">
        <is>
          <t>exported-activities.pdf（Wiseカード）</t>
        </is>
      </c>
      <c r="J14" s="11" t="inlineStr">
        <is>
          <t>共通</t>
        </is>
      </c>
      <c r="K14" s="12">
        <f>TEXT(A14,"YYYY-MM")</f>
        <v/>
      </c>
    </row>
    <row r="15" ht="15" customHeight="1">
      <c r="A15" s="7" t="inlineStr">
        <is>
          <t>2026-09-25</t>
        </is>
      </c>
      <c r="B15" s="7" t="inlineStr">
        <is>
          <t>Hec Resto</t>
        </is>
      </c>
      <c r="C15" s="54" t="n">
        <v>-20</v>
      </c>
      <c r="D15" s="7" t="inlineStr">
        <is>
          <t>EUR</t>
        </is>
      </c>
      <c r="E15" s="9" t="inlineStr">
        <is>
          <t>カード決済</t>
        </is>
      </c>
      <c r="F15" s="7" t="inlineStr">
        <is>
          <t>COMPLETED</t>
        </is>
      </c>
      <c r="G15" s="7" t="inlineStr">
        <is>
          <t>Family</t>
        </is>
      </c>
      <c r="H15" s="7" t="n"/>
      <c r="I15" s="10" t="inlineStr">
        <is>
          <t>exported-activities.pdf（Wiseカード）</t>
        </is>
      </c>
      <c r="J15" s="11" t="inlineStr">
        <is>
          <t>共通</t>
        </is>
      </c>
      <c r="K15" s="12">
        <f>TEXT(A15,"YYYY-MM")</f>
        <v/>
      </c>
    </row>
    <row r="16" ht="15" customHeight="1">
      <c r="A16" s="7" t="inlineStr">
        <is>
          <t>2026-09-23</t>
        </is>
      </c>
      <c r="B16" s="7" t="inlineStr">
        <is>
          <t>Bureau Des Ele</t>
        </is>
      </c>
      <c r="C16" s="54" t="n">
        <v>-6</v>
      </c>
      <c r="D16" s="7" t="inlineStr">
        <is>
          <t>EUR</t>
        </is>
      </c>
      <c r="E16" s="9" t="inlineStr">
        <is>
          <t>カード決済</t>
        </is>
      </c>
      <c r="F16" s="7" t="inlineStr">
        <is>
          <t>COMPLETED</t>
        </is>
      </c>
      <c r="G16" s="7" t="inlineStr">
        <is>
          <t>Shopping</t>
        </is>
      </c>
      <c r="H16" s="7" t="n"/>
      <c r="I16" s="10" t="inlineStr">
        <is>
          <t>exported-activities.pdf（Wiseカード）</t>
        </is>
      </c>
      <c r="J16" s="11" t="inlineStr">
        <is>
          <t>共通</t>
        </is>
      </c>
      <c r="K16" s="12">
        <f>TEXT(A16,"YYYY-MM")</f>
        <v/>
      </c>
    </row>
    <row r="17" ht="15" customHeight="1">
      <c r="A17" s="7" t="inlineStr">
        <is>
          <t>2026-09-23</t>
        </is>
      </c>
      <c r="B17" s="7" t="inlineStr">
        <is>
          <t>Auchan</t>
        </is>
      </c>
      <c r="C17" s="54" t="n">
        <v>-116</v>
      </c>
      <c r="D17" s="7" t="inlineStr">
        <is>
          <t>EUR</t>
        </is>
      </c>
      <c r="E17" s="9" t="inlineStr">
        <is>
          <t>カード決済</t>
        </is>
      </c>
      <c r="F17" s="7" t="inlineStr">
        <is>
          <t>COMPLETED</t>
        </is>
      </c>
      <c r="G17" s="7" t="inlineStr">
        <is>
          <t>Shopping</t>
        </is>
      </c>
      <c r="H17" s="7" t="n"/>
      <c r="I17" s="10" t="inlineStr">
        <is>
          <t>exported-activities.pdf（Wiseカード）</t>
        </is>
      </c>
      <c r="J17" s="11" t="inlineStr">
        <is>
          <t>共通</t>
        </is>
      </c>
      <c r="K17" s="12">
        <f>TEXT(A17,"YYYY-MM")</f>
        <v/>
      </c>
    </row>
    <row r="18" ht="15" customHeight="1">
      <c r="A18" s="7" t="inlineStr">
        <is>
          <t>2026-09-23</t>
        </is>
      </c>
      <c r="B18" s="7" t="inlineStr">
        <is>
          <t>THOMAS GUICHEMERREさんへの送金</t>
        </is>
      </c>
      <c r="C18" s="54" t="n">
        <v>-20</v>
      </c>
      <c r="D18" s="7" t="inlineStr">
        <is>
          <t>EUR</t>
        </is>
      </c>
      <c r="E18" s="9" t="inlineStr">
        <is>
          <t>送金/入出金</t>
        </is>
      </c>
      <c r="F18" s="7" t="inlineStr">
        <is>
          <t>COMPLETED</t>
        </is>
      </c>
      <c r="G18" s="7" t="inlineStr">
        <is>
          <t>General</t>
        </is>
      </c>
      <c r="H18" s="7" t="n">
        <v>0.07000000000000001</v>
      </c>
      <c r="I18" s="10" t="inlineStr">
        <is>
          <t>account-statement_2026-09-01_2026-09-30_ja-jp_ec3fc3.pdf（Revolut）</t>
        </is>
      </c>
      <c r="J18" s="11" t="inlineStr">
        <is>
          <t>共通</t>
        </is>
      </c>
      <c r="K18" s="12">
        <f>TEXT(A18,"YYYY-MM")</f>
        <v/>
      </c>
    </row>
    <row r="19" ht="15" customHeight="1">
      <c r="A19" s="7" t="inlineStr">
        <is>
          <t>2026-09-22</t>
        </is>
      </c>
      <c r="B19" s="7" t="inlineStr">
        <is>
          <t>Moved to EUR (100 GBP)</t>
        </is>
      </c>
      <c r="C19" s="54" t="n">
        <v>116.16</v>
      </c>
      <c r="D19" s="7" t="inlineStr">
        <is>
          <t>EUR</t>
        </is>
      </c>
      <c r="E19" s="9" t="inlineStr">
        <is>
          <t>送金/入出金</t>
        </is>
      </c>
      <c r="F19" s="7" t="inlineStr">
        <is>
          <t>COMPLETED</t>
        </is>
      </c>
      <c r="G19" s="7" t="inlineStr">
        <is>
          <t>Money added</t>
        </is>
      </c>
      <c r="H19" s="7" t="n"/>
      <c r="I19" s="10" t="inlineStr">
        <is>
          <t>exported-activities.pdf（Wiseカード）</t>
        </is>
      </c>
      <c r="J19" s="11" t="inlineStr">
        <is>
          <t>共通</t>
        </is>
      </c>
      <c r="K19" s="12">
        <f>TEXT(A19,"YYYY-MM")</f>
        <v/>
      </c>
    </row>
    <row r="20" ht="15" customHeight="1">
      <c r="A20" s="7" t="inlineStr">
        <is>
          <t>2026-09-22</t>
        </is>
      </c>
      <c r="B20" s="7" t="inlineStr">
        <is>
          <t>MASAHIRO KAWAHATAさんからの送金</t>
        </is>
      </c>
      <c r="C20" s="54" t="n">
        <v>10.74</v>
      </c>
      <c r="D20" s="7" t="inlineStr">
        <is>
          <t>EUR</t>
        </is>
      </c>
      <c r="E20" s="9" t="inlineStr">
        <is>
          <t>送金/入出金</t>
        </is>
      </c>
      <c r="F20" s="7" t="inlineStr">
        <is>
          <t>COMPLETED</t>
        </is>
      </c>
      <c r="G20" s="7" t="inlineStr">
        <is>
          <t>Money added</t>
        </is>
      </c>
      <c r="H20" s="7" t="n">
        <v>20.07</v>
      </c>
      <c r="I20" s="10" t="inlineStr">
        <is>
          <t>account-statement_2026-09-01_2026-09-30_ja-jp_ec3fc3.pdf（Revolut）</t>
        </is>
      </c>
      <c r="J20" s="11" t="inlineStr">
        <is>
          <t>共通</t>
        </is>
      </c>
      <c r="K20" s="12">
        <f>TEXT(A20,"YYYY-MM")</f>
        <v/>
      </c>
    </row>
    <row r="21" ht="15" customHeight="1">
      <c r="A21" s="7" t="inlineStr">
        <is>
          <t>2026-09-21</t>
        </is>
      </c>
      <c r="B21" s="7" t="inlineStr">
        <is>
          <t>KAZUMA USUIさんへの送金</t>
        </is>
      </c>
      <c r="C21" s="54" t="n">
        <v>-14.86</v>
      </c>
      <c r="D21" s="7" t="inlineStr">
        <is>
          <t>EUR</t>
        </is>
      </c>
      <c r="E21" s="9" t="inlineStr">
        <is>
          <t>送金/入出金</t>
        </is>
      </c>
      <c r="F21" s="7" t="inlineStr">
        <is>
          <t>COMPLETED</t>
        </is>
      </c>
      <c r="G21" s="7" t="inlineStr">
        <is>
          <t>General</t>
        </is>
      </c>
      <c r="H21" s="7" t="n">
        <v>9.33</v>
      </c>
      <c r="I21" s="10" t="inlineStr">
        <is>
          <t>account-statement_2026-09-01_2026-09-30_ja-jp_ec3fc3.pdf（Revolut）</t>
        </is>
      </c>
      <c r="J21" s="11" t="inlineStr">
        <is>
          <t>共通</t>
        </is>
      </c>
      <c r="K21" s="12">
        <f>TEXT(A21,"YYYY-MM")</f>
        <v/>
      </c>
    </row>
    <row r="22" ht="15" customHeight="1">
      <c r="A22" s="7" t="inlineStr">
        <is>
          <t>2026-09-21</t>
        </is>
      </c>
      <c r="B22" s="7" t="inlineStr">
        <is>
          <t>MASAHIRO KAWAMURAさんからの送金</t>
        </is>
      </c>
      <c r="C22" s="54" t="n">
        <v>7.71</v>
      </c>
      <c r="D22" s="7" t="inlineStr">
        <is>
          <t>EUR</t>
        </is>
      </c>
      <c r="E22" s="9" t="inlineStr">
        <is>
          <t>送金/入出金</t>
        </is>
      </c>
      <c r="F22" s="7" t="inlineStr">
        <is>
          <t>COMPLETED</t>
        </is>
      </c>
      <c r="G22" s="7" t="inlineStr">
        <is>
          <t>Money added</t>
        </is>
      </c>
      <c r="H22" s="7" t="n">
        <v>24.19</v>
      </c>
      <c r="I22" s="10" t="inlineStr">
        <is>
          <t>account-statement_2026-09-01_2026-09-30_ja-jp_ec3fc3.pdf（Revolut）</t>
        </is>
      </c>
      <c r="J22" s="11" t="inlineStr">
        <is>
          <t>共通</t>
        </is>
      </c>
      <c r="K22" s="12">
        <f>TEXT(A22,"YYYY-MM")</f>
        <v/>
      </c>
    </row>
    <row r="23" ht="15" customHeight="1">
      <c r="A23" s="7" t="inlineStr">
        <is>
          <t>2026-09-21</t>
        </is>
      </c>
      <c r="B23" s="7" t="inlineStr">
        <is>
          <t>紹介報酬</t>
        </is>
      </c>
      <c r="C23" s="54" t="n">
        <v>10</v>
      </c>
      <c r="D23" s="7" t="inlineStr">
        <is>
          <t>EUR</t>
        </is>
      </c>
      <c r="E23" s="9" t="inlineStr">
        <is>
          <t>送金/入出金</t>
        </is>
      </c>
      <c r="F23" s="7" t="inlineStr">
        <is>
          <t>COMPLETED</t>
        </is>
      </c>
      <c r="G23" s="7" t="inlineStr">
        <is>
          <t>Money added</t>
        </is>
      </c>
      <c r="H23" s="7" t="n">
        <v>16.48</v>
      </c>
      <c r="I23" s="10" t="inlineStr">
        <is>
          <t>account-statement_2026-09-01_2026-09-30_ja-jp_ec3fc3.pdf（Revolut）</t>
        </is>
      </c>
      <c r="J23" s="11" t="inlineStr">
        <is>
          <t>共通</t>
        </is>
      </c>
      <c r="K23" s="12">
        <f>TEXT(A23,"YYYY-MM")</f>
        <v/>
      </c>
    </row>
    <row r="24" ht="15" customHeight="1">
      <c r="A24" s="7" t="inlineStr">
        <is>
          <t>2026-09-21</t>
        </is>
      </c>
      <c r="B24" s="7" t="inlineStr">
        <is>
          <t>Uber</t>
        </is>
      </c>
      <c r="C24" s="54" t="n">
        <v>-42.93</v>
      </c>
      <c r="D24" s="7" t="inlineStr">
        <is>
          <t>EUR</t>
        </is>
      </c>
      <c r="E24" s="9" t="inlineStr">
        <is>
          <t>カード決済</t>
        </is>
      </c>
      <c r="F24" s="7" t="inlineStr">
        <is>
          <t>COMPLETED</t>
        </is>
      </c>
      <c r="G24" s="7" t="inlineStr">
        <is>
          <t>Transport</t>
        </is>
      </c>
      <c r="H24" s="7" t="n">
        <v>6.48</v>
      </c>
      <c r="I24" s="10" t="inlineStr">
        <is>
          <t>account-statement_2026-09-01_2026-09-30_ja-jp_ec3fc3.pdf（Revolut）</t>
        </is>
      </c>
      <c r="J24" s="11" t="inlineStr">
        <is>
          <t>共通</t>
        </is>
      </c>
      <c r="K24" s="12">
        <f>TEXT(A24,"YYYY-MM")</f>
        <v/>
      </c>
    </row>
    <row r="25" ht="15" customHeight="1">
      <c r="A25" s="7" t="inlineStr">
        <is>
          <t>2026-09-20</t>
        </is>
      </c>
      <c r="B25" s="7" t="inlineStr">
        <is>
          <t>Amazon Pay</t>
        </is>
      </c>
      <c r="C25" s="54" t="n">
        <v>-18.99</v>
      </c>
      <c r="D25" s="7" t="inlineStr">
        <is>
          <t>EUR</t>
        </is>
      </c>
      <c r="E25" s="9" t="inlineStr">
        <is>
          <t>カード決済</t>
        </is>
      </c>
      <c r="F25" s="7" t="inlineStr">
        <is>
          <t>COMPLETED</t>
        </is>
      </c>
      <c r="G25" s="7" t="inlineStr">
        <is>
          <t>Shopping</t>
        </is>
      </c>
      <c r="H25" s="7" t="n"/>
      <c r="I25" s="10" t="inlineStr">
        <is>
          <t>exported-activities.pdf（Wiseカード）</t>
        </is>
      </c>
      <c r="J25" s="11" t="inlineStr">
        <is>
          <t>共通</t>
        </is>
      </c>
      <c r="K25" s="12">
        <f>TEXT(A25,"YYYY-MM")</f>
        <v/>
      </c>
    </row>
    <row r="26" ht="15" customHeight="1">
      <c r="A26" s="7" t="inlineStr">
        <is>
          <t>2026-09-20</t>
        </is>
      </c>
      <c r="B26" s="7" t="inlineStr">
        <is>
          <t>SOLA RAMEN</t>
        </is>
      </c>
      <c r="C26" s="54" t="n">
        <v>-15</v>
      </c>
      <c r="D26" s="7" t="inlineStr">
        <is>
          <t>EUR</t>
        </is>
      </c>
      <c r="E26" s="9" t="inlineStr">
        <is>
          <t>カード決済</t>
        </is>
      </c>
      <c r="F26" s="7" t="inlineStr">
        <is>
          <t>COMPLETED</t>
        </is>
      </c>
      <c r="G26" s="7" t="inlineStr">
        <is>
          <t>Eating out</t>
        </is>
      </c>
      <c r="H26" s="7" t="n"/>
      <c r="I26" s="10" t="inlineStr">
        <is>
          <t>meisai_20261003212728842.pdf（SMBC信託銀行カード）</t>
        </is>
      </c>
      <c r="J26" s="11" t="inlineStr">
        <is>
          <t>共通</t>
        </is>
      </c>
      <c r="K26" s="12">
        <f>TEXT(A26,"YYYY-MM")</f>
        <v/>
      </c>
    </row>
    <row r="27" ht="15" customHeight="1">
      <c r="A27" s="7" t="inlineStr">
        <is>
          <t>2026-09-20</t>
        </is>
      </c>
      <c r="B27" s="7" t="inlineStr">
        <is>
          <t>BOULANGERIE ZES</t>
        </is>
      </c>
      <c r="C27" s="54" t="n">
        <v>-6.5</v>
      </c>
      <c r="D27" s="7" t="inlineStr">
        <is>
          <t>EUR</t>
        </is>
      </c>
      <c r="E27" s="9" t="inlineStr">
        <is>
          <t>カード決済</t>
        </is>
      </c>
      <c r="F27" s="7" t="inlineStr">
        <is>
          <t>COMPLETED</t>
        </is>
      </c>
      <c r="G27" s="7" t="inlineStr">
        <is>
          <t>Groceries</t>
        </is>
      </c>
      <c r="H27" s="7" t="n"/>
      <c r="I27" s="10" t="inlineStr">
        <is>
          <t>meisai_20261003212728842.pdf（SMBC信託銀行カード）</t>
        </is>
      </c>
      <c r="J27" s="11" t="inlineStr">
        <is>
          <t>共通</t>
        </is>
      </c>
      <c r="K27" s="12">
        <f>TEXT(A27,"YYYY-MM")</f>
        <v/>
      </c>
    </row>
    <row r="28" ht="15" customHeight="1">
      <c r="A28" s="7" t="inlineStr">
        <is>
          <t>2026-09-19</t>
        </is>
      </c>
      <c r="B28" s="7" t="inlineStr">
        <is>
          <t>Ace Mart</t>
        </is>
      </c>
      <c r="C28" s="54" t="n">
        <v>-88.55</v>
      </c>
      <c r="D28" s="7" t="inlineStr">
        <is>
          <t>EUR</t>
        </is>
      </c>
      <c r="E28" s="9" t="inlineStr">
        <is>
          <t>カード決済</t>
        </is>
      </c>
      <c r="F28" s="7" t="inlineStr">
        <is>
          <t>COMPLETED</t>
        </is>
      </c>
      <c r="G28" s="7" t="inlineStr">
        <is>
          <t>Groceries</t>
        </is>
      </c>
      <c r="H28" s="7" t="n"/>
      <c r="I28" s="10" t="inlineStr">
        <is>
          <t>exported-activities.pdf（Wiseカード）</t>
        </is>
      </c>
      <c r="J28" s="11" t="inlineStr">
        <is>
          <t>共通</t>
        </is>
      </c>
      <c r="K28" s="12">
        <f>TEXT(A28,"YYYY-MM")</f>
        <v/>
      </c>
    </row>
    <row r="29" ht="15" customHeight="1">
      <c r="A29" s="7" t="inlineStr">
        <is>
          <t>2026-09-19</t>
        </is>
      </c>
      <c r="B29" s="7" t="inlineStr">
        <is>
          <t>IKEA</t>
        </is>
      </c>
      <c r="C29" s="54" t="n">
        <v>-1.5</v>
      </c>
      <c r="D29" s="7" t="inlineStr">
        <is>
          <t>EUR</t>
        </is>
      </c>
      <c r="E29" s="9" t="inlineStr">
        <is>
          <t>カード決済</t>
        </is>
      </c>
      <c r="F29" s="7" t="inlineStr">
        <is>
          <t>COMPLETED</t>
        </is>
      </c>
      <c r="G29" s="7" t="inlineStr">
        <is>
          <t>Shopping</t>
        </is>
      </c>
      <c r="H29" s="7" t="n"/>
      <c r="I29" s="10" t="inlineStr">
        <is>
          <t>exported-activities.pdf（Wiseカード）</t>
        </is>
      </c>
      <c r="J29" s="11" t="inlineStr">
        <is>
          <t>共通</t>
        </is>
      </c>
      <c r="K29" s="12">
        <f>TEXT(A29,"YYYY-MM")</f>
        <v/>
      </c>
    </row>
    <row r="30" ht="15" customHeight="1">
      <c r="A30" s="7" t="inlineStr">
        <is>
          <t>2026-09-19</t>
        </is>
      </c>
      <c r="B30" s="7" t="inlineStr">
        <is>
          <t>IKEA</t>
        </is>
      </c>
      <c r="C30" s="54" t="n">
        <v>-48.88</v>
      </c>
      <c r="D30" s="7" t="inlineStr">
        <is>
          <t>EUR</t>
        </is>
      </c>
      <c r="E30" s="9" t="inlineStr">
        <is>
          <t>カード決済</t>
        </is>
      </c>
      <c r="F30" s="7" t="inlineStr">
        <is>
          <t>COMPLETED</t>
        </is>
      </c>
      <c r="G30" s="7" t="inlineStr">
        <is>
          <t>Shopping</t>
        </is>
      </c>
      <c r="H30" s="7" t="n"/>
      <c r="I30" s="10" t="inlineStr">
        <is>
          <t>exported-activities.pdf（Wiseカード）</t>
        </is>
      </c>
      <c r="J30" s="11" t="inlineStr">
        <is>
          <t>共通</t>
        </is>
      </c>
      <c r="K30" s="12">
        <f>TEXT(A30,"YYYY-MM")</f>
        <v/>
      </c>
    </row>
    <row r="31" ht="15" customHeight="1">
      <c r="A31" s="7" t="inlineStr">
        <is>
          <t>2026-09-19</t>
        </is>
      </c>
      <c r="B31" s="7" t="inlineStr">
        <is>
          <t>Momola Pigalle.t2pay</t>
        </is>
      </c>
      <c r="C31" s="54" t="n">
        <v>-10</v>
      </c>
      <c r="D31" s="7" t="inlineStr">
        <is>
          <t>EUR</t>
        </is>
      </c>
      <c r="E31" s="9" t="inlineStr">
        <is>
          <t>カード決済</t>
        </is>
      </c>
      <c r="F31" s="7" t="inlineStr">
        <is>
          <t>COMPLETED</t>
        </is>
      </c>
      <c r="G31" s="7" t="inlineStr">
        <is>
          <t>Eating out</t>
        </is>
      </c>
      <c r="H31" s="7" t="n"/>
      <c r="I31" s="10" t="inlineStr">
        <is>
          <t>exported-activities.pdf（Wiseカード）</t>
        </is>
      </c>
      <c r="J31" s="11" t="inlineStr">
        <is>
          <t>共通</t>
        </is>
      </c>
      <c r="K31" s="12">
        <f>TEXT(A31,"YYYY-MM")</f>
        <v/>
      </c>
    </row>
    <row r="32" ht="15" customHeight="1">
      <c r="A32" s="7" t="inlineStr">
        <is>
          <t>2026-09-19</t>
        </is>
      </c>
      <c r="B32" s="7" t="inlineStr">
        <is>
          <t>Kow</t>
        </is>
      </c>
      <c r="C32" s="54" t="n">
        <v>-6</v>
      </c>
      <c r="D32" s="7" t="inlineStr">
        <is>
          <t>EUR</t>
        </is>
      </c>
      <c r="E32" s="9" t="inlineStr">
        <is>
          <t>カード決済</t>
        </is>
      </c>
      <c r="F32" s="7" t="inlineStr">
        <is>
          <t>COMPLETED</t>
        </is>
      </c>
      <c r="G32" s="7" t="inlineStr">
        <is>
          <t>Eating out</t>
        </is>
      </c>
      <c r="H32" s="7" t="n"/>
      <c r="I32" s="10" t="inlineStr">
        <is>
          <t>exported-activities.pdf（Wiseカード）</t>
        </is>
      </c>
      <c r="J32" s="11" t="inlineStr">
        <is>
          <t>共通</t>
        </is>
      </c>
      <c r="K32" s="12">
        <f>TEXT(A32,"YYYY-MM")</f>
        <v/>
      </c>
    </row>
    <row r="33" ht="15" customHeight="1">
      <c r="A33" s="7" t="inlineStr">
        <is>
          <t>2026-09-19</t>
        </is>
      </c>
      <c r="B33" s="7" t="inlineStr">
        <is>
          <t>4M2 Mymasgwc</t>
        </is>
      </c>
      <c r="C33" s="54" t="n">
        <v>-10</v>
      </c>
      <c r="D33" s="7" t="inlineStr">
        <is>
          <t>EUR</t>
        </is>
      </c>
      <c r="E33" s="9" t="inlineStr">
        <is>
          <t>カード決済</t>
        </is>
      </c>
      <c r="F33" s="7" t="inlineStr">
        <is>
          <t>COMPLETED</t>
        </is>
      </c>
      <c r="G33" s="7" t="inlineStr">
        <is>
          <t>Groceries</t>
        </is>
      </c>
      <c r="H33" s="7" t="n"/>
      <c r="I33" s="10" t="inlineStr">
        <is>
          <t>exported-activities.pdf（Wiseカード）</t>
        </is>
      </c>
      <c r="J33" s="11" t="inlineStr">
        <is>
          <t>共通</t>
        </is>
      </c>
      <c r="K33" s="12">
        <f>TEXT(A33,"YYYY-MM")</f>
        <v/>
      </c>
    </row>
    <row r="34" ht="15" customHeight="1">
      <c r="A34" s="7" t="inlineStr">
        <is>
          <t>2026-09-19</t>
        </is>
      </c>
      <c r="B34" s="7" t="inlineStr">
        <is>
          <t>Snp Usagi Delice</t>
        </is>
      </c>
      <c r="C34" s="54" t="n">
        <v>-10</v>
      </c>
      <c r="D34" s="7" t="inlineStr">
        <is>
          <t>EUR</t>
        </is>
      </c>
      <c r="E34" s="9" t="inlineStr">
        <is>
          <t>カード決済</t>
        </is>
      </c>
      <c r="F34" s="7" t="inlineStr">
        <is>
          <t>COMPLETED</t>
        </is>
      </c>
      <c r="G34" s="7" t="inlineStr">
        <is>
          <t>Eating out</t>
        </is>
      </c>
      <c r="H34" s="7" t="n"/>
      <c r="I34" s="10" t="inlineStr">
        <is>
          <t>exported-activities.pdf（Wiseカード）</t>
        </is>
      </c>
      <c r="J34" s="11" t="inlineStr">
        <is>
          <t>共通</t>
        </is>
      </c>
      <c r="K34" s="12">
        <f>TEXT(A34,"YYYY-MM")</f>
        <v/>
      </c>
    </row>
    <row r="35" ht="15" customHeight="1">
      <c r="A35" s="7" t="inlineStr">
        <is>
          <t>2026-09-19</t>
        </is>
      </c>
      <c r="B35" s="7" t="inlineStr">
        <is>
          <t>IDF Mobilités | Navigo pass</t>
        </is>
      </c>
      <c r="C35" s="54" t="n">
        <v>-25.5</v>
      </c>
      <c r="D35" s="7" t="inlineStr">
        <is>
          <t>EUR</t>
        </is>
      </c>
      <c r="E35" s="9" t="inlineStr">
        <is>
          <t>カード決済</t>
        </is>
      </c>
      <c r="F35" s="7" t="inlineStr">
        <is>
          <t>COMPLETED</t>
        </is>
      </c>
      <c r="G35" s="7" t="inlineStr">
        <is>
          <t>Transport</t>
        </is>
      </c>
      <c r="H35" s="7" t="n">
        <v>136.54</v>
      </c>
      <c r="I35" s="10" t="inlineStr">
        <is>
          <t>exported-activities.pdf（Wiseカード）</t>
        </is>
      </c>
      <c r="J35" s="11" t="inlineStr">
        <is>
          <t>共通</t>
        </is>
      </c>
      <c r="K35" s="12">
        <f>TEXT(A35,"YYYY-MM")</f>
        <v/>
      </c>
    </row>
    <row r="36" ht="15" customHeight="1">
      <c r="A36" s="7" t="inlineStr">
        <is>
          <t>2026-09-19</t>
        </is>
      </c>
      <c r="B36" s="7" t="inlineStr">
        <is>
          <t>IDF Mobilités | Navigo pass</t>
        </is>
      </c>
      <c r="C36" s="54" t="n">
        <v>-25.5</v>
      </c>
      <c r="D36" s="7" t="inlineStr">
        <is>
          <t>EUR</t>
        </is>
      </c>
      <c r="E36" s="9" t="inlineStr">
        <is>
          <t>カード決済</t>
        </is>
      </c>
      <c r="F36" s="7" t="inlineStr">
        <is>
          <t>COMPLETED</t>
        </is>
      </c>
      <c r="G36" s="7" t="inlineStr">
        <is>
          <t>Transport</t>
        </is>
      </c>
      <c r="H36" s="7" t="n"/>
      <c r="I36" s="10" t="inlineStr">
        <is>
          <t>exported-activities.pdf（Wiseカード）</t>
        </is>
      </c>
      <c r="J36" s="11" t="inlineStr">
        <is>
          <t>共通</t>
        </is>
      </c>
      <c r="K36" s="12">
        <f>TEXT(A36,"YYYY-MM")</f>
        <v/>
      </c>
    </row>
    <row r="37" ht="15" customHeight="1">
      <c r="A37" s="7" t="inlineStr">
        <is>
          <t>2026-09-19</t>
        </is>
      </c>
      <c r="B37" s="7" t="inlineStr">
        <is>
          <t>IDF Mobilités | Navigo pass</t>
        </is>
      </c>
      <c r="C37" s="54" t="n">
        <v>-20.5</v>
      </c>
      <c r="D37" s="7" t="inlineStr">
        <is>
          <t>EUR</t>
        </is>
      </c>
      <c r="E37" s="9" t="inlineStr">
        <is>
          <t>カード決済</t>
        </is>
      </c>
      <c r="F37" s="7" t="inlineStr">
        <is>
          <t>COMPLETED</t>
        </is>
      </c>
      <c r="G37" s="7" t="inlineStr">
        <is>
          <t>Transport</t>
        </is>
      </c>
      <c r="H37" s="7" t="n"/>
      <c r="I37" s="10" t="inlineStr">
        <is>
          <t>exported-activities.pdf（Wiseカード）</t>
        </is>
      </c>
      <c r="J37" s="11" t="inlineStr">
        <is>
          <t>共通</t>
        </is>
      </c>
      <c r="K37" s="12">
        <f>TEXT(A37,"YYYY-MM")</f>
        <v/>
      </c>
    </row>
    <row r="38" ht="15" customHeight="1">
      <c r="A38" s="7" t="inlineStr">
        <is>
          <t>2026-09-19</t>
        </is>
      </c>
      <c r="B38" s="7" t="inlineStr">
        <is>
          <t>IDF Mobilités | Navigo pass</t>
        </is>
      </c>
      <c r="C38" s="54" t="n">
        <v>-20.5</v>
      </c>
      <c r="D38" s="7" t="inlineStr">
        <is>
          <t>EUR</t>
        </is>
      </c>
      <c r="E38" s="9" t="inlineStr">
        <is>
          <t>カード決済</t>
        </is>
      </c>
      <c r="F38" s="7" t="inlineStr">
        <is>
          <t>COMPLETED</t>
        </is>
      </c>
      <c r="G38" s="7" t="inlineStr">
        <is>
          <t>Transport</t>
        </is>
      </c>
      <c r="H38" s="7" t="n"/>
      <c r="I38" s="10" t="inlineStr">
        <is>
          <t>exported-activities.pdf（Wiseカード）</t>
        </is>
      </c>
      <c r="J38" s="11" t="inlineStr">
        <is>
          <t>共通</t>
        </is>
      </c>
      <c r="K38" s="12">
        <f>TEXT(A38,"YYYY-MM")</f>
        <v/>
      </c>
    </row>
    <row r="39" ht="15" customHeight="1">
      <c r="A39" s="7" t="inlineStr">
        <is>
          <t>2026-09-19</t>
        </is>
      </c>
      <c r="B39" s="7" t="inlineStr">
        <is>
          <t>SHUN KINOSHITAさんからの送金</t>
        </is>
      </c>
      <c r="C39" s="54" t="n">
        <v>5</v>
      </c>
      <c r="D39" s="7" t="inlineStr">
        <is>
          <t>EUR</t>
        </is>
      </c>
      <c r="E39" s="9" t="inlineStr">
        <is>
          <t>送金/入出金</t>
        </is>
      </c>
      <c r="F39" s="7" t="inlineStr">
        <is>
          <t>COMPLETED</t>
        </is>
      </c>
      <c r="G39" s="7" t="inlineStr">
        <is>
          <t>Money added</t>
        </is>
      </c>
      <c r="H39" s="7" t="n">
        <v>49.41</v>
      </c>
      <c r="I39" s="10" t="inlineStr">
        <is>
          <t>account-statement_2026-09-01_2026-09-30_ja-jp_ec3fc3.pdf（Revolut）</t>
        </is>
      </c>
      <c r="J39" s="11" t="inlineStr">
        <is>
          <t>共通</t>
        </is>
      </c>
      <c r="K39" s="12">
        <f>TEXT(A39,"YYYY-MM")</f>
        <v/>
      </c>
    </row>
    <row r="40" ht="15" customHeight="1">
      <c r="A40" s="7" t="inlineStr">
        <is>
          <t>2026-09-17</t>
        </is>
      </c>
      <c r="B40" s="7" t="inlineStr">
        <is>
          <t>Auchan</t>
        </is>
      </c>
      <c r="C40" s="54" t="n">
        <v>-24</v>
      </c>
      <c r="D40" s="7" t="inlineStr">
        <is>
          <t>EUR</t>
        </is>
      </c>
      <c r="E40" s="9" t="inlineStr">
        <is>
          <t>カード決済</t>
        </is>
      </c>
      <c r="F40" s="7" t="inlineStr">
        <is>
          <t>COMPLETED</t>
        </is>
      </c>
      <c r="G40" s="7" t="inlineStr">
        <is>
          <t>Shopping</t>
        </is>
      </c>
      <c r="H40" s="7" t="n"/>
      <c r="I40" s="10" t="inlineStr">
        <is>
          <t>exported-activities.pdf（Wiseカード）</t>
        </is>
      </c>
      <c r="J40" s="11" t="inlineStr">
        <is>
          <t>共通</t>
        </is>
      </c>
      <c r="K40" s="12">
        <f>TEXT(A40,"YYYY-MM")</f>
        <v/>
      </c>
    </row>
    <row r="41" ht="15" customHeight="1">
      <c r="A41" s="7" t="inlineStr">
        <is>
          <t>2026-09-17</t>
        </is>
      </c>
      <c r="B41" s="7" t="inlineStr">
        <is>
          <t>Amazon</t>
        </is>
      </c>
      <c r="C41" s="54" t="n">
        <v>-89.98</v>
      </c>
      <c r="D41" s="7" t="inlineStr">
        <is>
          <t>EUR</t>
        </is>
      </c>
      <c r="E41" s="9" t="inlineStr">
        <is>
          <t>カード決済</t>
        </is>
      </c>
      <c r="F41" s="7" t="inlineStr">
        <is>
          <t>COMPLETED</t>
        </is>
      </c>
      <c r="G41" s="7" t="inlineStr">
        <is>
          <t>Shopping</t>
        </is>
      </c>
      <c r="H41" s="7" t="n">
        <v>44.41</v>
      </c>
      <c r="I41" s="10" t="inlineStr">
        <is>
          <t>account-statement_2026-09-01_2026-09-30_ja-jp_ec3fc3.pdf（Revolut）</t>
        </is>
      </c>
      <c r="J41" s="11" t="inlineStr">
        <is>
          <t>共通</t>
        </is>
      </c>
      <c r="K41" s="12">
        <f>TEXT(A41,"YYYY-MM")</f>
        <v/>
      </c>
    </row>
    <row r="42" ht="15" customHeight="1">
      <c r="A42" s="7" t="inlineStr">
        <is>
          <t>2026-09-17</t>
        </is>
      </c>
      <c r="B42" s="7" t="inlineStr">
        <is>
          <t>Amazon</t>
        </is>
      </c>
      <c r="C42" s="54" t="n">
        <v>-21.7</v>
      </c>
      <c r="D42" s="7" t="inlineStr">
        <is>
          <t>EUR</t>
        </is>
      </c>
      <c r="E42" s="9" t="inlineStr">
        <is>
          <t>カード決済</t>
        </is>
      </c>
      <c r="F42" s="7" t="inlineStr">
        <is>
          <t>COMPLETED</t>
        </is>
      </c>
      <c r="G42" s="7" t="inlineStr">
        <is>
          <t>Shopping</t>
        </is>
      </c>
      <c r="H42" s="7" t="n">
        <v>134.39</v>
      </c>
      <c r="I42" s="10" t="inlineStr">
        <is>
          <t>account-statement_2026-09-01_2026-09-30_ja-jp_ec3fc3.pdf（Revolut）</t>
        </is>
      </c>
      <c r="J42" s="11" t="inlineStr">
        <is>
          <t>共通</t>
        </is>
      </c>
      <c r="K42" s="12">
        <f>TEXT(A42,"YYYY-MM")</f>
        <v/>
      </c>
    </row>
    <row r="43" ht="15" customHeight="1">
      <c r="A43" s="7" t="inlineStr">
        <is>
          <t>2026-09-16</t>
        </is>
      </c>
      <c r="B43" s="7" t="inlineStr">
        <is>
          <t>Hec Paris Students Uni</t>
        </is>
      </c>
      <c r="C43" s="54" t="n">
        <v>-78</v>
      </c>
      <c r="D43" s="7" t="inlineStr">
        <is>
          <t>EUR</t>
        </is>
      </c>
      <c r="E43" s="9" t="inlineStr">
        <is>
          <t>カード決済</t>
        </is>
      </c>
      <c r="F43" s="7" t="inlineStr">
        <is>
          <t>COMPLETED</t>
        </is>
      </c>
      <c r="G43" s="7" t="inlineStr">
        <is>
          <t>General</t>
        </is>
      </c>
      <c r="H43" s="7" t="n"/>
      <c r="I43" s="10" t="inlineStr">
        <is>
          <t>exported-activities.pdf（Wiseカード）</t>
        </is>
      </c>
      <c r="J43" s="11" t="inlineStr">
        <is>
          <t>共通</t>
        </is>
      </c>
      <c r="K43" s="12">
        <f>TEXT(A43,"YYYY-MM")</f>
        <v/>
      </c>
    </row>
    <row r="44" ht="15" customHeight="1">
      <c r="A44" s="7" t="inlineStr">
        <is>
          <t>2026-09-15</t>
        </is>
      </c>
      <c r="B44" s="7" t="inlineStr">
        <is>
          <t>Revolut</t>
        </is>
      </c>
      <c r="C44" s="54" t="n">
        <v>-100</v>
      </c>
      <c r="D44" s="7" t="inlineStr">
        <is>
          <t>EUR</t>
        </is>
      </c>
      <c r="E44" s="9" t="inlineStr">
        <is>
          <t>カード決済</t>
        </is>
      </c>
      <c r="F44" s="7" t="inlineStr">
        <is>
          <t>COMPLETED</t>
        </is>
      </c>
      <c r="G44" s="7" t="inlineStr">
        <is>
          <t>Money added</t>
        </is>
      </c>
      <c r="H44" s="7" t="n"/>
      <c r="I44" s="10" t="inlineStr">
        <is>
          <t>exported-activities.pdf（Wiseカード）</t>
        </is>
      </c>
      <c r="J44" s="11" t="inlineStr">
        <is>
          <t>共通</t>
        </is>
      </c>
      <c r="K44" s="12">
        <f>TEXT(A44,"YYYY-MM")</f>
        <v/>
      </c>
    </row>
    <row r="45" ht="15" customHeight="1">
      <c r="A45" s="7" t="inlineStr">
        <is>
          <t>2026-09-15</t>
        </is>
      </c>
      <c r="B45" s="7" t="inlineStr">
        <is>
          <t>Apple Payチャージ手数料 *5293</t>
        </is>
      </c>
      <c r="C45" s="54" t="n">
        <v>-1.66</v>
      </c>
      <c r="D45" s="7" t="inlineStr">
        <is>
          <t>EUR</t>
        </is>
      </c>
      <c r="E45" s="9" t="inlineStr">
        <is>
          <t>カード決済</t>
        </is>
      </c>
      <c r="F45" s="7" t="inlineStr">
        <is>
          <t>COMPLETED</t>
        </is>
      </c>
      <c r="G45" s="7" t="inlineStr">
        <is>
          <t>General</t>
        </is>
      </c>
      <c r="H45" s="7" t="n">
        <v>156.09</v>
      </c>
      <c r="I45" s="10" t="inlineStr">
        <is>
          <t>account-statement_2026-09-01_2026-09-30_ja-jp_ec3fc3.pdf（Revolut）</t>
        </is>
      </c>
      <c r="J45" s="11" t="inlineStr">
        <is>
          <t>共通</t>
        </is>
      </c>
      <c r="K45" s="12">
        <f>TEXT(A45,"YYYY-MM")</f>
        <v/>
      </c>
    </row>
    <row r="46" ht="15" customHeight="1">
      <c r="A46" s="7" t="inlineStr">
        <is>
          <t>2026-09-15</t>
        </is>
      </c>
      <c r="B46" s="7" t="inlineStr">
        <is>
          <t>Apple Payチャージ *5293</t>
        </is>
      </c>
      <c r="C46" s="54" t="n">
        <v>100</v>
      </c>
      <c r="D46" s="7" t="inlineStr">
        <is>
          <t>EUR</t>
        </is>
      </c>
      <c r="E46" s="9" t="inlineStr">
        <is>
          <t>送金/入出金</t>
        </is>
      </c>
      <c r="F46" s="7" t="inlineStr">
        <is>
          <t>COMPLETED</t>
        </is>
      </c>
      <c r="G46" s="7" t="inlineStr">
        <is>
          <t>Money added</t>
        </is>
      </c>
      <c r="H46" s="7" t="n">
        <v>157.75</v>
      </c>
      <c r="I46" s="10" t="inlineStr">
        <is>
          <t>account-statement_2026-09-01_2026-09-30_ja-jp_ec3fc3.pdf（Revolut）</t>
        </is>
      </c>
      <c r="J46" s="11" t="inlineStr">
        <is>
          <t>共通</t>
        </is>
      </c>
      <c r="K46" s="12">
        <f>TEXT(A46,"YYYY-MM")</f>
        <v/>
      </c>
    </row>
    <row r="47" ht="15" customHeight="1">
      <c r="A47" s="7" t="inlineStr">
        <is>
          <t>2026-09-15</t>
        </is>
      </c>
      <c r="B47" s="7" t="inlineStr">
        <is>
          <t>ANTHROPIC* CLAUDE SUB</t>
        </is>
      </c>
      <c r="C47" s="54" t="n">
        <v>-216</v>
      </c>
      <c r="D47" s="7" t="inlineStr">
        <is>
          <t>EUR</t>
        </is>
      </c>
      <c r="E47" s="9" t="inlineStr">
        <is>
          <t>カード決済</t>
        </is>
      </c>
      <c r="F47" s="7" t="inlineStr">
        <is>
          <t>COMPLETED</t>
        </is>
      </c>
      <c r="G47" s="7" t="inlineStr">
        <is>
          <t>Bills</t>
        </is>
      </c>
      <c r="H47" s="7" t="n">
        <v>404.09</v>
      </c>
      <c r="I47" s="10" t="inlineStr">
        <is>
          <t>meisai_20261003212728842.pdf（SMBC信託銀行カード）</t>
        </is>
      </c>
      <c r="J47" s="11" t="inlineStr">
        <is>
          <t>共通</t>
        </is>
      </c>
      <c r="K47" s="12">
        <f>TEXT(A47,"YYYY-MM")</f>
        <v/>
      </c>
    </row>
    <row r="48" ht="15" customHeight="1">
      <c r="A48" s="7" t="inlineStr">
        <is>
          <t>2026-09-12</t>
        </is>
      </c>
      <c r="B48" s="7" t="inlineStr">
        <is>
          <t>Revolut</t>
        </is>
      </c>
      <c r="C48" s="54" t="n">
        <v>-100</v>
      </c>
      <c r="D48" s="7" t="inlineStr">
        <is>
          <t>EUR</t>
        </is>
      </c>
      <c r="E48" s="9" t="inlineStr">
        <is>
          <t>カード決済</t>
        </is>
      </c>
      <c r="F48" s="7" t="inlineStr">
        <is>
          <t>COMPLETED</t>
        </is>
      </c>
      <c r="G48" s="7" t="inlineStr">
        <is>
          <t>Money added</t>
        </is>
      </c>
      <c r="H48" s="7" t="n">
        <v>454.29</v>
      </c>
      <c r="I48" s="10" t="inlineStr">
        <is>
          <t>exported-activities.pdf（Wiseカード）</t>
        </is>
      </c>
      <c r="J48" s="11" t="inlineStr">
        <is>
          <t>共通</t>
        </is>
      </c>
      <c r="K48" s="12">
        <f>TEXT(A48,"YYYY-MM")</f>
        <v/>
      </c>
    </row>
    <row r="49" ht="15" customHeight="1">
      <c r="A49" s="7" t="inlineStr">
        <is>
          <t>2026-09-12</t>
        </is>
      </c>
      <c r="B49" s="7" t="inlineStr">
        <is>
          <t>カード配送料</t>
        </is>
      </c>
      <c r="C49" s="54" t="n">
        <v>-7.99</v>
      </c>
      <c r="D49" s="7" t="inlineStr">
        <is>
          <t>EUR</t>
        </is>
      </c>
      <c r="E49" s="9" t="inlineStr">
        <is>
          <t>カード決済</t>
        </is>
      </c>
      <c r="F49" s="7" t="inlineStr">
        <is>
          <t>COMPLETED</t>
        </is>
      </c>
      <c r="G49" s="7" t="inlineStr">
        <is>
          <t>General</t>
        </is>
      </c>
      <c r="H49" s="7" t="n">
        <v>57.75</v>
      </c>
      <c r="I49" s="10" t="inlineStr">
        <is>
          <t>account-statement_2026-09-01_2026-09-30_ja-jp_ec3fc3.pdf（Revolut）</t>
        </is>
      </c>
      <c r="J49" s="11" t="inlineStr">
        <is>
          <t>共通</t>
        </is>
      </c>
      <c r="K49" s="12">
        <f>TEXT(A49,"YYYY-MM")</f>
        <v/>
      </c>
    </row>
    <row r="50" ht="15" customHeight="1">
      <c r="A50" s="7" t="inlineStr">
        <is>
          <t>2026-09-12</t>
        </is>
      </c>
      <c r="B50" s="7" t="inlineStr">
        <is>
          <t>Direction régionale des finances publiques（Timbre Fiscal）</t>
        </is>
      </c>
      <c r="C50" s="54" t="n">
        <v>-100</v>
      </c>
      <c r="D50" s="7" t="inlineStr">
        <is>
          <t>EUR</t>
        </is>
      </c>
      <c r="E50" s="9" t="inlineStr">
        <is>
          <t>カード決済</t>
        </is>
      </c>
      <c r="F50" s="7" t="inlineStr">
        <is>
          <t>COMPLETED</t>
        </is>
      </c>
      <c r="G50" s="7" t="inlineStr">
        <is>
          <t>General</t>
        </is>
      </c>
      <c r="H50" s="7" t="n">
        <v>65.73999999999999</v>
      </c>
      <c r="I50" s="10" t="inlineStr">
        <is>
          <t>account-statement_2026-09-01_2026-09-30_ja-jp_ec3fc3.pdf（Revolut）</t>
        </is>
      </c>
      <c r="J50" s="11" t="inlineStr">
        <is>
          <t>共通</t>
        </is>
      </c>
      <c r="K50" s="12">
        <f>TEXT(A50,"YYYY-MM")</f>
        <v/>
      </c>
    </row>
    <row r="51" ht="15" customHeight="1">
      <c r="A51" s="7" t="inlineStr">
        <is>
          <t>2026-09-11</t>
        </is>
      </c>
      <c r="B51" s="7" t="inlineStr">
        <is>
          <t>Acs</t>
        </is>
      </c>
      <c r="C51" s="54" t="n">
        <v>-17</v>
      </c>
      <c r="D51" s="7" t="inlineStr">
        <is>
          <t>EUR</t>
        </is>
      </c>
      <c r="E51" s="9" t="inlineStr">
        <is>
          <t>カード決済</t>
        </is>
      </c>
      <c r="F51" s="7" t="inlineStr">
        <is>
          <t>COMPLETED</t>
        </is>
      </c>
      <c r="G51" s="7" t="inlineStr">
        <is>
          <t>Bills</t>
        </is>
      </c>
      <c r="H51" s="7" t="n"/>
      <c r="I51" s="10" t="inlineStr">
        <is>
          <t>exported-activities.pdf（Wiseカード）</t>
        </is>
      </c>
      <c r="J51" s="11" t="inlineStr">
        <is>
          <t>共通</t>
        </is>
      </c>
      <c r="K51" s="12">
        <f>TEXT(A51,"YYYY-MM")</f>
        <v/>
      </c>
    </row>
    <row r="52" ht="15" customHeight="1">
      <c r="A52" s="7" t="inlineStr">
        <is>
          <t>2026-09-11</t>
        </is>
      </c>
      <c r="B52" s="7" t="inlineStr">
        <is>
          <t>Google*chrome Temp</t>
        </is>
      </c>
      <c r="C52" s="54" t="n">
        <v>-1.13</v>
      </c>
      <c r="D52" s="7" t="inlineStr">
        <is>
          <t>EUR</t>
        </is>
      </c>
      <c r="E52" s="9" t="inlineStr">
        <is>
          <t>カード決済</t>
        </is>
      </c>
      <c r="F52" s="7" t="inlineStr">
        <is>
          <t>CANCELLED</t>
        </is>
      </c>
      <c r="G52" s="7" t="inlineStr">
        <is>
          <t>Bills</t>
        </is>
      </c>
      <c r="H52" s="7" t="n"/>
      <c r="I52" s="10" t="inlineStr">
        <is>
          <t>account-statement_2026-09-01_2026-09-30_ja-jp_ec3fc3.pdf（Revolut）</t>
        </is>
      </c>
      <c r="J52" s="11" t="inlineStr">
        <is>
          <t>共通</t>
        </is>
      </c>
      <c r="K52" s="12">
        <f>TEXT(A52,"YYYY-MM")</f>
        <v/>
      </c>
    </row>
    <row r="53" ht="15" customHeight="1">
      <c r="A53" s="7" t="inlineStr">
        <is>
          <t>2026-09-10</t>
        </is>
      </c>
      <c r="B53" s="7" t="inlineStr">
        <is>
          <t>Auchan</t>
        </is>
      </c>
      <c r="C53" s="54" t="n">
        <v>-37.49</v>
      </c>
      <c r="D53" s="7" t="inlineStr">
        <is>
          <t>EUR</t>
        </is>
      </c>
      <c r="E53" s="9" t="inlineStr">
        <is>
          <t>カード決済</t>
        </is>
      </c>
      <c r="F53" s="7" t="inlineStr">
        <is>
          <t>COMPLETED</t>
        </is>
      </c>
      <c r="G53" s="7" t="inlineStr">
        <is>
          <t>Shopping</t>
        </is>
      </c>
      <c r="H53" s="7" t="n"/>
      <c r="I53" s="10" t="inlineStr">
        <is>
          <t>exported-activities.pdf（Wiseカード）</t>
        </is>
      </c>
      <c r="J53" s="11" t="inlineStr">
        <is>
          <t>共通</t>
        </is>
      </c>
      <c r="K53" s="12">
        <f>TEXT(A53,"YYYY-MM")</f>
        <v/>
      </c>
    </row>
    <row r="54" ht="15" customHeight="1">
      <c r="A54" s="7" t="inlineStr">
        <is>
          <t>2026-09-10</t>
        </is>
      </c>
      <c r="B54" s="7" t="inlineStr">
        <is>
          <t>THE LONDON SCHOOL (REFUND ST98166)</t>
        </is>
      </c>
      <c r="C54" s="54" t="n">
        <v>480</v>
      </c>
      <c r="D54" s="7" t="inlineStr">
        <is>
          <t>GBP</t>
        </is>
      </c>
      <c r="E54" s="9" t="inlineStr">
        <is>
          <t>送金/入出金</t>
        </is>
      </c>
      <c r="F54" s="7" t="inlineStr">
        <is>
          <t>COMPLETED</t>
        </is>
      </c>
      <c r="G54" s="7" t="inlineStr">
        <is>
          <t>Money added</t>
        </is>
      </c>
      <c r="H54" s="7" t="n"/>
      <c r="I54" s="10" t="inlineStr">
        <is>
          <t>exported-activities.pdf（Wiseカード）</t>
        </is>
      </c>
      <c r="J54" s="11" t="inlineStr">
        <is>
          <t>共通</t>
        </is>
      </c>
      <c r="K54" s="12">
        <f>TEXT(A54,"YYYY-MM")</f>
        <v/>
      </c>
    </row>
    <row r="55" ht="15" customHeight="1">
      <c r="A55" s="7" t="inlineStr">
        <is>
          <t>2026-09-10</t>
        </is>
      </c>
      <c r="B55" s="7" t="inlineStr">
        <is>
          <t>MASAHIRO KAWAMURAさんへの送金</t>
        </is>
      </c>
      <c r="C55" s="54" t="n">
        <v>-12.35</v>
      </c>
      <c r="D55" s="7" t="inlineStr">
        <is>
          <t>EUR</t>
        </is>
      </c>
      <c r="E55" s="9" t="inlineStr">
        <is>
          <t>送金/入出金</t>
        </is>
      </c>
      <c r="F55" s="7" t="inlineStr">
        <is>
          <t>COMPLETED</t>
        </is>
      </c>
      <c r="G55" s="7" t="inlineStr">
        <is>
          <t>General</t>
        </is>
      </c>
      <c r="H55" s="7" t="n">
        <v>165.74</v>
      </c>
      <c r="I55" s="10" t="inlineStr">
        <is>
          <t>account-statement_2026-09-01_2026-09-30_ja-jp_ec3fc3.pdf（Revolut）</t>
        </is>
      </c>
      <c r="J55" s="11" t="inlineStr">
        <is>
          <t>共通</t>
        </is>
      </c>
      <c r="K55" s="12">
        <f>TEXT(A55,"YYYY-MM")</f>
        <v/>
      </c>
    </row>
    <row r="56" ht="15" customHeight="1">
      <c r="A56" s="7" t="inlineStr">
        <is>
          <t>2026-09-08</t>
        </is>
      </c>
      <c r="B56" s="7" t="inlineStr">
        <is>
          <t>Amazon</t>
        </is>
      </c>
      <c r="C56" s="54" t="n">
        <v>-41.27</v>
      </c>
      <c r="D56" s="7" t="inlineStr">
        <is>
          <t>EUR</t>
        </is>
      </c>
      <c r="E56" s="9" t="inlineStr">
        <is>
          <t>カード決済</t>
        </is>
      </c>
      <c r="F56" s="7" t="inlineStr">
        <is>
          <t>COMPLETED</t>
        </is>
      </c>
      <c r="G56" s="7" t="inlineStr">
        <is>
          <t>Shopping</t>
        </is>
      </c>
      <c r="H56" s="7" t="n">
        <v>625.71</v>
      </c>
      <c r="I56" s="10" t="inlineStr">
        <is>
          <t>exported-activities.pdf（Wiseカード）</t>
        </is>
      </c>
      <c r="J56" s="11" t="inlineStr">
        <is>
          <t>共通</t>
        </is>
      </c>
      <c r="K56" s="12">
        <f>TEXT(A56,"YYYY-MM")</f>
        <v/>
      </c>
    </row>
    <row r="57" ht="15" customHeight="1">
      <c r="A57" s="7" t="inlineStr">
        <is>
          <t>2026-09-07</t>
        </is>
      </c>
      <c r="B57" s="7" t="inlineStr">
        <is>
          <t>Auchan</t>
        </is>
      </c>
      <c r="C57" s="54" t="n">
        <v>-38.76</v>
      </c>
      <c r="D57" s="7" t="inlineStr">
        <is>
          <t>EUR</t>
        </is>
      </c>
      <c r="E57" s="9" t="inlineStr">
        <is>
          <t>カード決済</t>
        </is>
      </c>
      <c r="F57" s="7" t="inlineStr">
        <is>
          <t>COMPLETED</t>
        </is>
      </c>
      <c r="G57" s="7" t="inlineStr">
        <is>
          <t>Shopping</t>
        </is>
      </c>
      <c r="H57" s="7" t="n">
        <v>510.71</v>
      </c>
      <c r="I57" s="10" t="inlineStr">
        <is>
          <t>exported-activities.pdf（Wiseカード）</t>
        </is>
      </c>
      <c r="J57" s="11" t="inlineStr">
        <is>
          <t>共通</t>
        </is>
      </c>
      <c r="K57" s="12">
        <f>TEXT(A57,"YYYY-MM")</f>
        <v/>
      </c>
    </row>
    <row r="58" ht="15" customHeight="1">
      <c r="A58" s="7" t="inlineStr">
        <is>
          <t>2026-09-07</t>
        </is>
      </c>
      <c r="B58" s="7" t="inlineStr">
        <is>
          <t>Hec Boutique</t>
        </is>
      </c>
      <c r="C58" s="54" t="n">
        <v>-20</v>
      </c>
      <c r="D58" s="7" t="inlineStr">
        <is>
          <t>EUR</t>
        </is>
      </c>
      <c r="E58" s="9" t="inlineStr">
        <is>
          <t>カード決済</t>
        </is>
      </c>
      <c r="F58" s="7" t="inlineStr">
        <is>
          <t>COMPLETED</t>
        </is>
      </c>
      <c r="G58" s="7" t="inlineStr">
        <is>
          <t>Family</t>
        </is>
      </c>
      <c r="H58" s="7" t="n">
        <v>472.21</v>
      </c>
      <c r="I58" s="10" t="inlineStr">
        <is>
          <t>exported-activities.pdf（Wiseカード）</t>
        </is>
      </c>
      <c r="J58" s="11" t="inlineStr">
        <is>
          <t>共通</t>
        </is>
      </c>
      <c r="K58" s="12">
        <f>TEXT(A58,"YYYY-MM")</f>
        <v/>
      </c>
    </row>
    <row r="59" ht="15" customHeight="1">
      <c r="A59" s="7" t="inlineStr">
        <is>
          <t>2026-09-07</t>
        </is>
      </c>
      <c r="B59" s="7" t="inlineStr">
        <is>
          <t>HEC RESTO 1</t>
        </is>
      </c>
      <c r="C59" s="54" t="n">
        <v>-20</v>
      </c>
      <c r="D59" s="7" t="inlineStr">
        <is>
          <t>EUR</t>
        </is>
      </c>
      <c r="E59" s="9" t="inlineStr">
        <is>
          <t>カード決済</t>
        </is>
      </c>
      <c r="F59" s="7" t="inlineStr">
        <is>
          <t>COMPLETED</t>
        </is>
      </c>
      <c r="G59" s="7" t="inlineStr">
        <is>
          <t>Family</t>
        </is>
      </c>
      <c r="H59" s="7" t="n"/>
      <c r="I59" s="10" t="inlineStr">
        <is>
          <t>meisai_20261003212728842.pdf（SMBC信託銀行カード）</t>
        </is>
      </c>
      <c r="J59" s="11" t="inlineStr">
        <is>
          <t>共通</t>
        </is>
      </c>
      <c r="K59" s="12">
        <f>TEXT(A59,"YYYY-MM")</f>
        <v/>
      </c>
    </row>
    <row r="60" ht="15" customHeight="1">
      <c r="A60" s="7" t="inlineStr">
        <is>
          <t>2026-09-06</t>
        </is>
      </c>
      <c r="B60" s="7" t="inlineStr">
        <is>
          <t>Espace Lavage</t>
        </is>
      </c>
      <c r="C60" s="54" t="n">
        <v>-20</v>
      </c>
      <c r="D60" s="7" t="inlineStr">
        <is>
          <t>EUR</t>
        </is>
      </c>
      <c r="E60" s="9" t="inlineStr">
        <is>
          <t>カード決済</t>
        </is>
      </c>
      <c r="F60" s="7" t="inlineStr">
        <is>
          <t>COMPLETED</t>
        </is>
      </c>
      <c r="G60" s="7" t="inlineStr">
        <is>
          <t>Bills</t>
        </is>
      </c>
      <c r="H60" s="7" t="n"/>
      <c r="I60" s="10" t="inlineStr">
        <is>
          <t>exported-activities.pdf（Wiseカード）</t>
        </is>
      </c>
      <c r="J60" s="11" t="inlineStr">
        <is>
          <t>共通</t>
        </is>
      </c>
      <c r="K60" s="12">
        <f>TEXT(A60,"YYYY-MM")</f>
        <v/>
      </c>
    </row>
    <row r="61" ht="15" customHeight="1">
      <c r="A61" s="7" t="inlineStr">
        <is>
          <t>2026-09-06</t>
        </is>
      </c>
      <c r="B61" s="7" t="inlineStr">
        <is>
          <t>Auchan</t>
        </is>
      </c>
      <c r="C61" s="54" t="n">
        <v>-41.29</v>
      </c>
      <c r="D61" s="7" t="inlineStr">
        <is>
          <t>EUR</t>
        </is>
      </c>
      <c r="E61" s="9" t="inlineStr">
        <is>
          <t>カード決済</t>
        </is>
      </c>
      <c r="F61" s="7" t="inlineStr">
        <is>
          <t>COMPLETED</t>
        </is>
      </c>
      <c r="G61" s="7" t="inlineStr">
        <is>
          <t>Shopping</t>
        </is>
      </c>
      <c r="H61" s="7" t="n">
        <v>1474.27</v>
      </c>
      <c r="I61" s="10" t="inlineStr">
        <is>
          <t>exported-activities.pdf（Wiseカード）</t>
        </is>
      </c>
      <c r="J61" s="11" t="inlineStr">
        <is>
          <t>共通</t>
        </is>
      </c>
      <c r="K61" s="12">
        <f>TEXT(A61,"YYYY-MM")</f>
        <v/>
      </c>
    </row>
    <row r="62" ht="15" customHeight="1">
      <c r="A62" s="7" t="inlineStr">
        <is>
          <t>2026-09-06</t>
        </is>
      </c>
      <c r="B62" s="7" t="inlineStr">
        <is>
          <t>MASAHIRO KAWAMURAさんへの送金</t>
        </is>
      </c>
      <c r="C62" s="54" t="n">
        <v>-9.32</v>
      </c>
      <c r="D62" s="7" t="inlineStr">
        <is>
          <t>EUR</t>
        </is>
      </c>
      <c r="E62" s="9" t="inlineStr">
        <is>
          <t>送金/入出金</t>
        </is>
      </c>
      <c r="F62" s="7" t="inlineStr">
        <is>
          <t>COMPLETED</t>
        </is>
      </c>
      <c r="G62" s="7" t="inlineStr">
        <is>
          <t>General</t>
        </is>
      </c>
      <c r="H62" s="7" t="n">
        <v>178.09</v>
      </c>
      <c r="I62" s="10" t="inlineStr">
        <is>
          <t>account-statement_2026-09-01_2026-09-30_ja-jp_ec3fc3.pdf（Revolut）</t>
        </is>
      </c>
      <c r="J62" s="11" t="inlineStr">
        <is>
          <t>共通</t>
        </is>
      </c>
      <c r="K62" s="12">
        <f>TEXT(A62,"YYYY-MM")</f>
        <v/>
      </c>
    </row>
    <row r="63" ht="15" customHeight="1">
      <c r="A63" s="7" t="inlineStr">
        <is>
          <t>2026-09-06</t>
        </is>
      </c>
      <c r="B63" s="7" t="inlineStr">
        <is>
          <t>Apple Payチャージ *0390</t>
        </is>
      </c>
      <c r="C63" s="54" t="n">
        <v>187.41</v>
      </c>
      <c r="D63" s="7" t="inlineStr">
        <is>
          <t>EUR</t>
        </is>
      </c>
      <c r="E63" s="9" t="inlineStr">
        <is>
          <t>送金/入出金</t>
        </is>
      </c>
      <c r="F63" s="7" t="inlineStr">
        <is>
          <t>COMPLETED</t>
        </is>
      </c>
      <c r="G63" s="7" t="inlineStr">
        <is>
          <t>Money added</t>
        </is>
      </c>
      <c r="H63" s="7" t="n">
        <v>187.41</v>
      </c>
      <c r="I63" s="10" t="inlineStr">
        <is>
          <t>account-statement_2026-09-01_2026-09-30_ja-jp_ec3fc3.pdf（Revolut）</t>
        </is>
      </c>
      <c r="J63" s="11" t="inlineStr">
        <is>
          <t>共通</t>
        </is>
      </c>
      <c r="K63" s="12">
        <f>TEXT(A63,"YYYY-MM")</f>
        <v/>
      </c>
    </row>
    <row r="64" ht="15" customHeight="1">
      <c r="A64" s="7" t="inlineStr">
        <is>
          <t>2026-09-06</t>
        </is>
      </c>
      <c r="B64" s="7" t="inlineStr">
        <is>
          <t>CABJ770</t>
        </is>
      </c>
      <c r="C64" s="54" t="n">
        <v>-3.5</v>
      </c>
      <c r="D64" s="7" t="inlineStr">
        <is>
          <t>EUR</t>
        </is>
      </c>
      <c r="E64" s="9" t="inlineStr">
        <is>
          <t>カード決済</t>
        </is>
      </c>
      <c r="F64" s="7" t="inlineStr">
        <is>
          <t>COMPLETED</t>
        </is>
      </c>
      <c r="G64" s="7" t="inlineStr">
        <is>
          <t>Transport</t>
        </is>
      </c>
      <c r="H64" s="7" t="n">
        <v>1570.53</v>
      </c>
      <c r="I64" s="10" t="inlineStr">
        <is>
          <t>meisai_20261003212728842.pdf（SMBC信託銀行カード）</t>
        </is>
      </c>
      <c r="J64" s="11" t="inlineStr">
        <is>
          <t>共通</t>
        </is>
      </c>
      <c r="K64" s="12">
        <f>TEXT(A64,"YYYY-MM")</f>
        <v/>
      </c>
    </row>
    <row r="65" ht="15" customHeight="1">
      <c r="A65" s="7" t="inlineStr">
        <is>
          <t>2026-09-05</t>
        </is>
      </c>
      <c r="B65" s="7" t="inlineStr">
        <is>
          <t>Bureau Des Ele</t>
        </is>
      </c>
      <c r="C65" s="54" t="n">
        <v>-3</v>
      </c>
      <c r="D65" s="7" t="inlineStr">
        <is>
          <t>EUR</t>
        </is>
      </c>
      <c r="E65" s="9" t="inlineStr">
        <is>
          <t>カード決済</t>
        </is>
      </c>
      <c r="F65" s="7" t="inlineStr">
        <is>
          <t>COMPLETED</t>
        </is>
      </c>
      <c r="G65" s="7" t="inlineStr">
        <is>
          <t>Shopping</t>
        </is>
      </c>
      <c r="H65" s="7" t="n">
        <v>1549.88</v>
      </c>
      <c r="I65" s="10" t="inlineStr">
        <is>
          <t>exported-activities.pdf（Wiseカード）</t>
        </is>
      </c>
      <c r="J65" s="11" t="inlineStr">
        <is>
          <t>共通</t>
        </is>
      </c>
      <c r="K65" s="12">
        <f>TEXT(A65,"YYYY-MM")</f>
        <v/>
      </c>
    </row>
    <row r="66" ht="15" customHeight="1">
      <c r="A66" s="7" t="inlineStr">
        <is>
          <t>2026-09-05</t>
        </is>
      </c>
      <c r="B66" s="7" t="inlineStr">
        <is>
          <t>Bureau Des Ele</t>
        </is>
      </c>
      <c r="C66" s="54" t="n">
        <v>-3</v>
      </c>
      <c r="D66" s="7" t="inlineStr">
        <is>
          <t>EUR</t>
        </is>
      </c>
      <c r="E66" s="9" t="inlineStr">
        <is>
          <t>カード決済</t>
        </is>
      </c>
      <c r="F66" s="7" t="inlineStr">
        <is>
          <t>COMPLETED</t>
        </is>
      </c>
      <c r="G66" s="7" t="inlineStr">
        <is>
          <t>Shopping</t>
        </is>
      </c>
      <c r="H66" s="7" t="n">
        <v>1546.07</v>
      </c>
      <c r="I66" s="10" t="inlineStr">
        <is>
          <t>exported-activities.pdf（Wiseカード）</t>
        </is>
      </c>
      <c r="J66" s="11" t="inlineStr">
        <is>
          <t>共通</t>
        </is>
      </c>
      <c r="K66" s="12">
        <f>TEXT(A66,"YYYY-MM")</f>
        <v/>
      </c>
    </row>
    <row r="67" ht="15" customHeight="1">
      <c r="A67" s="7" t="inlineStr">
        <is>
          <t>2026-09-05</t>
        </is>
      </c>
      <c r="B67" s="7" t="inlineStr">
        <is>
          <t>SUD COURTAGE</t>
        </is>
      </c>
      <c r="C67" s="54" t="n">
        <v>-105</v>
      </c>
      <c r="D67" s="7" t="inlineStr">
        <is>
          <t>EUR</t>
        </is>
      </c>
      <c r="E67" s="9" t="inlineStr">
        <is>
          <t>カード決済</t>
        </is>
      </c>
      <c r="F67" s="7" t="inlineStr">
        <is>
          <t>COMPLETED</t>
        </is>
      </c>
      <c r="G67" s="7" t="inlineStr">
        <is>
          <t>Bills</t>
        </is>
      </c>
      <c r="H67" s="7" t="n">
        <v>1577.51</v>
      </c>
      <c r="I67" s="10" t="inlineStr">
        <is>
          <t>meisai_20261003212728842.pdf（SMBC信託銀行カード）</t>
        </is>
      </c>
      <c r="J67" s="11" t="inlineStr">
        <is>
          <t>共通</t>
        </is>
      </c>
      <c r="K67" s="12">
        <f>TEXT(A67,"YYYY-MM")</f>
        <v/>
      </c>
    </row>
    <row r="68" ht="15" customHeight="1">
      <c r="A68" s="7" t="inlineStr">
        <is>
          <t>2026-09-04</t>
        </is>
      </c>
      <c r="B68" s="7" t="inlineStr">
        <is>
          <t>Hec Paris Students Uni</t>
        </is>
      </c>
      <c r="C68" s="54" t="n">
        <v>-5.4</v>
      </c>
      <c r="D68" s="7" t="inlineStr">
        <is>
          <t>EUR</t>
        </is>
      </c>
      <c r="E68" s="9" t="inlineStr">
        <is>
          <t>カード決済</t>
        </is>
      </c>
      <c r="F68" s="7" t="inlineStr">
        <is>
          <t>COMPLETED</t>
        </is>
      </c>
      <c r="G68" s="7" t="inlineStr">
        <is>
          <t>General</t>
        </is>
      </c>
      <c r="H68" s="7" t="n">
        <v>1635.74</v>
      </c>
      <c r="I68" s="10" t="inlineStr">
        <is>
          <t>exported-activities.pdf（Wiseカード）</t>
        </is>
      </c>
      <c r="J68" s="11" t="inlineStr">
        <is>
          <t>共通</t>
        </is>
      </c>
      <c r="K68" s="12">
        <f>TEXT(A68,"YYYY-MM")</f>
        <v/>
      </c>
    </row>
    <row r="69" ht="15" customHeight="1">
      <c r="A69" s="7" t="inlineStr">
        <is>
          <t>2026-09-04</t>
        </is>
      </c>
      <c r="B69" s="7" t="inlineStr">
        <is>
          <t>Auchan</t>
        </is>
      </c>
      <c r="C69" s="54" t="n">
        <v>-94.31</v>
      </c>
      <c r="D69" s="7" t="inlineStr">
        <is>
          <t>EUR</t>
        </is>
      </c>
      <c r="E69" s="9" t="inlineStr">
        <is>
          <t>カード決済</t>
        </is>
      </c>
      <c r="F69" s="7" t="inlineStr">
        <is>
          <t>COMPLETED</t>
        </is>
      </c>
      <c r="G69" s="7" t="inlineStr">
        <is>
          <t>Shopping</t>
        </is>
      </c>
      <c r="H69" s="7" t="n">
        <v>1621.99</v>
      </c>
      <c r="I69" s="10" t="inlineStr">
        <is>
          <t>exported-activities.pdf（Wiseカード）</t>
        </is>
      </c>
      <c r="J69" s="11" t="inlineStr">
        <is>
          <t>共通</t>
        </is>
      </c>
      <c r="K69" s="12">
        <f>TEXT(A69,"YYYY-MM")</f>
        <v/>
      </c>
    </row>
    <row r="70" ht="15" customHeight="1">
      <c r="A70" s="7" t="inlineStr">
        <is>
          <t>2026-09-04</t>
        </is>
      </c>
      <c r="B70" s="7" t="inlineStr">
        <is>
          <t>IKEA</t>
        </is>
      </c>
      <c r="C70" s="54" t="n">
        <v>-142.87</v>
      </c>
      <c r="D70" s="7" t="inlineStr">
        <is>
          <t>EUR</t>
        </is>
      </c>
      <c r="E70" s="9" t="inlineStr">
        <is>
          <t>カード決済</t>
        </is>
      </c>
      <c r="F70" s="7" t="inlineStr">
        <is>
          <t>COMPLETED</t>
        </is>
      </c>
      <c r="G70" s="7" t="inlineStr">
        <is>
          <t>Shopping</t>
        </is>
      </c>
      <c r="H70" s="7" t="n">
        <v>1616.79</v>
      </c>
      <c r="I70" s="10" t="inlineStr">
        <is>
          <t>exported-activities.pdf（Wiseカード）</t>
        </is>
      </c>
      <c r="J70" s="11" t="inlineStr">
        <is>
          <t>共通</t>
        </is>
      </c>
      <c r="K70" s="12">
        <f>TEXT(A70,"YYYY-MM")</f>
        <v/>
      </c>
    </row>
    <row r="71" ht="15" customHeight="1">
      <c r="A71" s="7" t="inlineStr">
        <is>
          <t>2026-09-04</t>
        </is>
      </c>
      <c r="B71" s="7" t="inlineStr">
        <is>
          <t>Free Mobile</t>
        </is>
      </c>
      <c r="C71" s="54" t="n">
        <v>-22.99</v>
      </c>
      <c r="D71" s="7" t="inlineStr">
        <is>
          <t>EUR</t>
        </is>
      </c>
      <c r="E71" s="9" t="inlineStr">
        <is>
          <t>カード決済</t>
        </is>
      </c>
      <c r="F71" s="7" t="inlineStr">
        <is>
          <t>COMPLETED</t>
        </is>
      </c>
      <c r="G71" s="7" t="inlineStr">
        <is>
          <t>Bills</t>
        </is>
      </c>
      <c r="H71" s="7" t="n"/>
      <c r="I71" s="10" t="inlineStr">
        <is>
          <t>exported-activities.pdf（Wiseカード）</t>
        </is>
      </c>
      <c r="J71" s="11" t="inlineStr">
        <is>
          <t>共通</t>
        </is>
      </c>
      <c r="K71" s="12">
        <f>TEXT(A71,"YYYY-MM")</f>
        <v/>
      </c>
    </row>
    <row r="72" ht="15" customHeight="1">
      <c r="A72" s="7" t="inlineStr">
        <is>
          <t>2026-09-04</t>
        </is>
      </c>
      <c r="B72" s="7" t="inlineStr">
        <is>
          <t>Added to EUR (169,423 JPY)</t>
        </is>
      </c>
      <c r="C72" s="54" t="n">
        <v>925.37</v>
      </c>
      <c r="D72" s="7" t="inlineStr">
        <is>
          <t>EUR</t>
        </is>
      </c>
      <c r="E72" s="9" t="inlineStr">
        <is>
          <t>送金/入出金</t>
        </is>
      </c>
      <c r="F72" s="7" t="inlineStr">
        <is>
          <t>COMPLETED</t>
        </is>
      </c>
      <c r="G72" s="7" t="inlineStr">
        <is>
          <t>Money added</t>
        </is>
      </c>
      <c r="H72" s="7" t="n"/>
      <c r="I72" s="10" t="inlineStr">
        <is>
          <t>exported-activities.pdf（Wiseカード）</t>
        </is>
      </c>
      <c r="J72" s="11" t="inlineStr">
        <is>
          <t>共通</t>
        </is>
      </c>
      <c r="K72" s="12">
        <f>TEXT(A72,"YYYY-MM")</f>
        <v/>
      </c>
    </row>
    <row r="73" ht="15" customHeight="1">
      <c r="A73" s="7" t="inlineStr">
        <is>
          <t>2026-09-04</t>
        </is>
      </c>
      <c r="B73" s="7" t="inlineStr">
        <is>
          <t>FREE MOBILE</t>
        </is>
      </c>
      <c r="C73" s="54" t="n">
        <v>-22.99</v>
      </c>
      <c r="D73" s="7" t="inlineStr">
        <is>
          <t>EUR</t>
        </is>
      </c>
      <c r="E73" s="9" t="inlineStr">
        <is>
          <t>カード決済</t>
        </is>
      </c>
      <c r="F73" s="7" t="inlineStr">
        <is>
          <t>COMPLETED</t>
        </is>
      </c>
      <c r="G73" s="7" t="inlineStr">
        <is>
          <t>Bills</t>
        </is>
      </c>
      <c r="H73" s="7" t="n">
        <v>1642.54</v>
      </c>
      <c r="I73" s="10" t="inlineStr">
        <is>
          <t>meisai_20261003212728842.pdf（SMBC信託銀行カード）</t>
        </is>
      </c>
      <c r="J73" s="11" t="inlineStr">
        <is>
          <t>共通</t>
        </is>
      </c>
      <c r="K73" s="12">
        <f>TEXT(A73,"YYYY-MM")</f>
        <v/>
      </c>
    </row>
    <row r="74" ht="15" customHeight="1">
      <c r="A74" s="7" t="inlineStr">
        <is>
          <t>2026-09-03</t>
        </is>
      </c>
      <c r="B74" s="7" t="inlineStr">
        <is>
          <t>Auchan</t>
        </is>
      </c>
      <c r="C74" s="54" t="n">
        <v>-61.54</v>
      </c>
      <c r="D74" s="7" t="inlineStr">
        <is>
          <t>EUR</t>
        </is>
      </c>
      <c r="E74" s="9" t="inlineStr">
        <is>
          <t>カード決済</t>
        </is>
      </c>
      <c r="F74" s="7" t="inlineStr">
        <is>
          <t>COMPLETED</t>
        </is>
      </c>
      <c r="G74" s="7" t="inlineStr">
        <is>
          <t>Shopping</t>
        </is>
      </c>
      <c r="H74" s="7" t="n"/>
      <c r="I74" s="10" t="inlineStr">
        <is>
          <t>exported-activities.pdf（Wiseカード）</t>
        </is>
      </c>
      <c r="J74" s="11" t="inlineStr">
        <is>
          <t>共通</t>
        </is>
      </c>
      <c r="K74" s="12">
        <f>TEXT(A74,"YYYY-MM")</f>
        <v/>
      </c>
    </row>
    <row r="75" ht="15" customHeight="1">
      <c r="A75" s="7" t="inlineStr">
        <is>
          <t>2026-09-03</t>
        </is>
      </c>
      <c r="B75" s="7" t="inlineStr">
        <is>
          <t>Nishikidori</t>
        </is>
      </c>
      <c r="C75" s="54" t="n">
        <v>-12.7</v>
      </c>
      <c r="D75" s="7" t="inlineStr">
        <is>
          <t>EUR</t>
        </is>
      </c>
      <c r="E75" s="9" t="inlineStr">
        <is>
          <t>カード決済</t>
        </is>
      </c>
      <c r="F75" s="7" t="inlineStr">
        <is>
          <t>COMPLETED</t>
        </is>
      </c>
      <c r="G75" s="7" t="inlineStr">
        <is>
          <t>Bills</t>
        </is>
      </c>
      <c r="H75" s="7" t="n">
        <v>1773.69</v>
      </c>
      <c r="I75" s="10" t="inlineStr">
        <is>
          <t>exported-activities.pdf（Wiseカード）</t>
        </is>
      </c>
      <c r="J75" s="11" t="inlineStr">
        <is>
          <t>共通</t>
        </is>
      </c>
      <c r="K75" s="12">
        <f>TEXT(A75,"YYYY-MM")</f>
        <v/>
      </c>
    </row>
    <row r="76" ht="15" customHeight="1">
      <c r="A76" s="7" t="inlineStr">
        <is>
          <t>2026-09-03</t>
        </is>
      </c>
      <c r="B76" s="7" t="inlineStr">
        <is>
          <t>KIOKO</t>
        </is>
      </c>
      <c r="C76" s="54" t="n">
        <v>-22.3</v>
      </c>
      <c r="D76" s="7" t="inlineStr">
        <is>
          <t>EUR</t>
        </is>
      </c>
      <c r="E76" s="9" t="inlineStr">
        <is>
          <t>カード決済</t>
        </is>
      </c>
      <c r="F76" s="7" t="inlineStr">
        <is>
          <t>COMPLETED</t>
        </is>
      </c>
      <c r="G76" s="7" t="inlineStr">
        <is>
          <t>Groceries</t>
        </is>
      </c>
      <c r="H76" s="7" t="n">
        <v>1749.09</v>
      </c>
      <c r="I76" s="10" t="inlineStr">
        <is>
          <t>exported-activities.pdf（Wiseカード）</t>
        </is>
      </c>
      <c r="J76" s="11" t="inlineStr">
        <is>
          <t>共通</t>
        </is>
      </c>
      <c r="K76" s="12">
        <f>TEXT(A76,"YYYY-MM")</f>
        <v/>
      </c>
    </row>
    <row r="77" ht="15" customHeight="1">
      <c r="A77" s="7" t="inlineStr">
        <is>
          <t>2026-09-03</t>
        </is>
      </c>
      <c r="B77" s="7" t="inlineStr">
        <is>
          <t>Jfla Europe</t>
        </is>
      </c>
      <c r="C77" s="54" t="n">
        <v>-18.7</v>
      </c>
      <c r="D77" s="7" t="inlineStr">
        <is>
          <t>EUR</t>
        </is>
      </c>
      <c r="E77" s="9" t="inlineStr">
        <is>
          <t>カード決済</t>
        </is>
      </c>
      <c r="F77" s="7" t="inlineStr">
        <is>
          <t>COMPLETED</t>
        </is>
      </c>
      <c r="G77" s="7" t="inlineStr">
        <is>
          <t>Eating out</t>
        </is>
      </c>
      <c r="H77" s="7" t="n">
        <v>1734.09</v>
      </c>
      <c r="I77" s="10" t="inlineStr">
        <is>
          <t>exported-activities.pdf（Wiseカード）</t>
        </is>
      </c>
      <c r="J77" s="11" t="inlineStr">
        <is>
          <t>共通</t>
        </is>
      </c>
      <c r="K77" s="12">
        <f>TEXT(A77,"YYYY-MM")</f>
        <v/>
      </c>
    </row>
    <row r="78" ht="15" customHeight="1">
      <c r="A78" s="7" t="inlineStr">
        <is>
          <t>2026-09-03</t>
        </is>
      </c>
      <c r="B78" s="7" t="inlineStr">
        <is>
          <t>K Mart</t>
        </is>
      </c>
      <c r="C78" s="54" t="n">
        <v>-9.5</v>
      </c>
      <c r="D78" s="7" t="inlineStr">
        <is>
          <t>EUR</t>
        </is>
      </c>
      <c r="E78" s="9" t="inlineStr">
        <is>
          <t>カード決済</t>
        </is>
      </c>
      <c r="F78" s="7" t="inlineStr">
        <is>
          <t>COMPLETED</t>
        </is>
      </c>
      <c r="G78" s="7" t="inlineStr">
        <is>
          <t>Groceries</t>
        </is>
      </c>
      <c r="H78" s="7" t="n">
        <v>1719.09</v>
      </c>
      <c r="I78" s="10" t="inlineStr">
        <is>
          <t>exported-activities.pdf（Wiseカード）</t>
        </is>
      </c>
      <c r="J78" s="11" t="inlineStr">
        <is>
          <t>共通</t>
        </is>
      </c>
      <c r="K78" s="12">
        <f>TEXT(A78,"YYYY-MM")</f>
        <v/>
      </c>
    </row>
    <row r="79" ht="15" customHeight="1">
      <c r="A79" s="7" t="inlineStr">
        <is>
          <t>2026-09-03</t>
        </is>
      </c>
      <c r="B79" s="7" t="inlineStr">
        <is>
          <t>Nishikidori</t>
        </is>
      </c>
      <c r="C79" s="54" t="n">
        <v>-25.16</v>
      </c>
      <c r="D79" s="7" t="inlineStr">
        <is>
          <t>EUR</t>
        </is>
      </c>
      <c r="E79" s="9" t="inlineStr">
        <is>
          <t>カード決済</t>
        </is>
      </c>
      <c r="F79" s="7" t="inlineStr">
        <is>
          <t>COMPLETED</t>
        </is>
      </c>
      <c r="G79" s="7" t="inlineStr">
        <is>
          <t>Bills</t>
        </is>
      </c>
      <c r="H79" s="7" t="n">
        <v>1695.54</v>
      </c>
      <c r="I79" s="10" t="inlineStr">
        <is>
          <t>exported-activities.pdf（Wiseカード）</t>
        </is>
      </c>
      <c r="J79" s="11" t="inlineStr">
        <is>
          <t>共通</t>
        </is>
      </c>
      <c r="K79" s="12">
        <f>TEXT(A79,"YYYY-MM")</f>
        <v/>
      </c>
    </row>
    <row r="80" ht="15" customHeight="1">
      <c r="A80" s="7" t="inlineStr">
        <is>
          <t>2026-09-03</t>
        </is>
      </c>
      <c r="B80" s="7" t="inlineStr">
        <is>
          <t>TRANSPORT SERVIC</t>
        </is>
      </c>
      <c r="C80" s="54" t="n">
        <v>-60</v>
      </c>
      <c r="D80" s="7" t="inlineStr">
        <is>
          <t>EUR</t>
        </is>
      </c>
      <c r="E80" s="9" t="inlineStr">
        <is>
          <t>カード決済</t>
        </is>
      </c>
      <c r="F80" s="7" t="inlineStr">
        <is>
          <t>COMPLETED</t>
        </is>
      </c>
      <c r="G80" s="7" t="inlineStr">
        <is>
          <t>Transport</t>
        </is>
      </c>
      <c r="H80" s="7" t="n"/>
      <c r="I80" s="10" t="inlineStr">
        <is>
          <t>meisai_20261003212728842.pdf（SMBC信託銀行カード）</t>
        </is>
      </c>
      <c r="J80" s="11" t="inlineStr">
        <is>
          <t>共通</t>
        </is>
      </c>
      <c r="K80" s="12">
        <f>TEXT(A80,"YYYY-MM")</f>
        <v/>
      </c>
    </row>
    <row r="81" ht="15" customHeight="1">
      <c r="A81" s="7" t="inlineStr">
        <is>
          <t>2026-09-03</t>
        </is>
      </c>
      <c r="B81" s="7" t="inlineStr">
        <is>
          <t>HOTEL ALISON</t>
        </is>
      </c>
      <c r="C81" s="54" t="n">
        <v>-22.12</v>
      </c>
      <c r="D81" s="7" t="inlineStr">
        <is>
          <t>EUR</t>
        </is>
      </c>
      <c r="E81" s="9" t="inlineStr">
        <is>
          <t>カード決済</t>
        </is>
      </c>
      <c r="F81" s="7" t="inlineStr">
        <is>
          <t>COMPLETED</t>
        </is>
      </c>
      <c r="G81" s="7" t="inlineStr">
        <is>
          <t>General</t>
        </is>
      </c>
      <c r="H81" s="7" t="n"/>
      <c r="I81" s="10" t="inlineStr">
        <is>
          <t>meisai_20261003212728842.pdf（SMBC信託銀行カード）</t>
        </is>
      </c>
      <c r="J81" s="11" t="inlineStr">
        <is>
          <t>共通</t>
        </is>
      </c>
      <c r="K81" s="12">
        <f>TEXT(A81,"YYYY-MM")</f>
        <v/>
      </c>
    </row>
    <row r="82" ht="15" customHeight="1">
      <c r="A82" s="7" t="inlineStr">
        <is>
          <t>2026-09-03</t>
        </is>
      </c>
      <c r="B82" s="7" t="inlineStr">
        <is>
          <t>FRANPRIX</t>
        </is>
      </c>
      <c r="C82" s="54" t="n">
        <v>-0.75</v>
      </c>
      <c r="D82" s="7" t="inlineStr">
        <is>
          <t>EUR</t>
        </is>
      </c>
      <c r="E82" s="9" t="inlineStr">
        <is>
          <t>カード決済</t>
        </is>
      </c>
      <c r="F82" s="7" t="inlineStr">
        <is>
          <t>COMPLETED</t>
        </is>
      </c>
      <c r="G82" s="7" t="inlineStr">
        <is>
          <t>Groceries</t>
        </is>
      </c>
      <c r="H82" s="7" t="n">
        <v>2032.97</v>
      </c>
      <c r="I82" s="10" t="inlineStr">
        <is>
          <t>meisai_20261003212728842.pdf（SMBC信託銀行カード）</t>
        </is>
      </c>
      <c r="J82" s="11" t="inlineStr">
        <is>
          <t>共通</t>
        </is>
      </c>
      <c r="K82" s="12">
        <f>TEXT(A82,"YYYY-MM")</f>
        <v/>
      </c>
    </row>
    <row r="83" ht="15" customHeight="1">
      <c r="A83" s="7" t="inlineStr">
        <is>
          <t>2026-09-03</t>
        </is>
      </c>
      <c r="B83" s="7" t="inlineStr">
        <is>
          <t>LA NOUVELLE CAST</t>
        </is>
      </c>
      <c r="C83" s="54" t="n">
        <v>-4.7</v>
      </c>
      <c r="D83" s="7" t="inlineStr">
        <is>
          <t>EUR</t>
        </is>
      </c>
      <c r="E83" s="9" t="inlineStr">
        <is>
          <t>カード決済</t>
        </is>
      </c>
      <c r="F83" s="7" t="inlineStr">
        <is>
          <t>COMPLETED</t>
        </is>
      </c>
      <c r="G83" s="7" t="inlineStr">
        <is>
          <t>Eating out</t>
        </is>
      </c>
      <c r="H83" s="7" t="n">
        <v>1917.89</v>
      </c>
      <c r="I83" s="10" t="inlineStr">
        <is>
          <t>meisai_20261003212728842.pdf（SMBC信託銀行カード）</t>
        </is>
      </c>
      <c r="J83" s="11" t="inlineStr">
        <is>
          <t>共通</t>
        </is>
      </c>
      <c r="K83" s="12">
        <f>TEXT(A83,"YYYY-MM")</f>
        <v/>
      </c>
    </row>
    <row r="84" ht="15" customHeight="1">
      <c r="A84" s="7" t="inlineStr">
        <is>
          <t>2026-09-02</t>
        </is>
      </c>
      <c r="B84" s="7" t="inlineStr">
        <is>
          <t>Centre Des Monuments N</t>
        </is>
      </c>
      <c r="C84" s="54" t="n">
        <v>-32</v>
      </c>
      <c r="D84" s="7" t="inlineStr">
        <is>
          <t>EUR</t>
        </is>
      </c>
      <c r="E84" s="9" t="inlineStr">
        <is>
          <t>カード決済</t>
        </is>
      </c>
      <c r="F84" s="7" t="inlineStr">
        <is>
          <t>COMPLETED</t>
        </is>
      </c>
      <c r="G84" s="7" t="inlineStr">
        <is>
          <t>Entertainment</t>
        </is>
      </c>
      <c r="H84" s="7" t="n">
        <v>1842.49</v>
      </c>
      <c r="I84" s="10" t="inlineStr">
        <is>
          <t>exported-activities.pdf（Wiseカード）</t>
        </is>
      </c>
      <c r="J84" s="11" t="inlineStr">
        <is>
          <t>共通</t>
        </is>
      </c>
      <c r="K84" s="12">
        <f>TEXT(A84,"YYYY-MM")</f>
        <v/>
      </c>
    </row>
    <row r="85" ht="15" customHeight="1">
      <c r="A85" s="7" t="inlineStr">
        <is>
          <t>2026-09-02</t>
        </is>
      </c>
      <c r="B85" s="7" t="inlineStr">
        <is>
          <t>JOJO</t>
        </is>
      </c>
      <c r="C85" s="54" t="n">
        <v>-68.5</v>
      </c>
      <c r="D85" s="7" t="inlineStr">
        <is>
          <t>EUR</t>
        </is>
      </c>
      <c r="E85" s="9" t="inlineStr">
        <is>
          <t>カード決済</t>
        </is>
      </c>
      <c r="F85" s="7" t="inlineStr">
        <is>
          <t>COMPLETED</t>
        </is>
      </c>
      <c r="G85" s="7" t="inlineStr">
        <is>
          <t>Eating out</t>
        </is>
      </c>
      <c r="H85" s="7" t="n">
        <v>1819.09</v>
      </c>
      <c r="I85" s="10" t="inlineStr">
        <is>
          <t>meisai_20261003212728842.pdf（SMBC信託銀行カード）</t>
        </is>
      </c>
      <c r="J85" s="11" t="inlineStr">
        <is>
          <t>共通</t>
        </is>
      </c>
      <c r="K85" s="12">
        <f>TEXT(A85,"YYYY-MM")</f>
        <v/>
      </c>
    </row>
    <row r="86" ht="15" customHeight="1">
      <c r="A86" s="7" t="inlineStr">
        <is>
          <t>2026-09-02</t>
        </is>
      </c>
      <c r="B86" s="7" t="inlineStr">
        <is>
          <t>LA NOUVELLE CAST</t>
        </is>
      </c>
      <c r="C86" s="54" t="n">
        <v>-6.1</v>
      </c>
      <c r="D86" s="7" t="inlineStr">
        <is>
          <t>EUR</t>
        </is>
      </c>
      <c r="E86" s="9" t="inlineStr">
        <is>
          <t>カード決済</t>
        </is>
      </c>
      <c r="F86" s="7" t="inlineStr">
        <is>
          <t>COMPLETED</t>
        </is>
      </c>
      <c r="G86" s="7" t="inlineStr">
        <is>
          <t>Eating out</t>
        </is>
      </c>
      <c r="H86" s="7" t="n">
        <v>1809.09</v>
      </c>
      <c r="I86" s="10" t="inlineStr">
        <is>
          <t>meisai_20261003212728842.pdf（SMBC信託銀行カード）</t>
        </is>
      </c>
      <c r="J86" s="11" t="inlineStr">
        <is>
          <t>共通</t>
        </is>
      </c>
      <c r="K86" s="12">
        <f>TEXT(A86,"YYYY-MM")</f>
        <v/>
      </c>
    </row>
    <row r="87" ht="15" customHeight="1">
      <c r="A87" s="7" t="inlineStr">
        <is>
          <t>2026-09-01</t>
        </is>
      </c>
      <c r="B87" s="7" t="inlineStr">
        <is>
          <t>Moved to EUR (6,366 JPY)</t>
        </is>
      </c>
      <c r="C87" s="54" t="n">
        <v>34.07</v>
      </c>
      <c r="D87" s="7" t="inlineStr">
        <is>
          <t>EUR</t>
        </is>
      </c>
      <c r="E87" s="9" t="inlineStr">
        <is>
          <t>送金/入出金</t>
        </is>
      </c>
      <c r="F87" s="7" t="inlineStr">
        <is>
          <t>COMPLETED</t>
        </is>
      </c>
      <c r="G87" s="7" t="inlineStr">
        <is>
          <t>Money added</t>
        </is>
      </c>
      <c r="H87" s="7" t="n">
        <v>1807.49</v>
      </c>
      <c r="I87" s="10" t="inlineStr">
        <is>
          <t>exported-activities.pdf（Wiseカード）</t>
        </is>
      </c>
      <c r="J87" s="11" t="inlineStr">
        <is>
          <t>共通</t>
        </is>
      </c>
      <c r="K87" s="12">
        <f>TEXT(A87,"YYYY-MM")</f>
        <v/>
      </c>
    </row>
    <row r="88" ht="15" customHeight="1">
      <c r="A88" s="7" t="inlineStr">
        <is>
          <t>2026-09-01</t>
        </is>
      </c>
      <c r="B88" s="7" t="inlineStr">
        <is>
          <t>Moved to EUR (286.34 GBP)</t>
        </is>
      </c>
      <c r="C88" s="54" t="n">
        <v>333.03</v>
      </c>
      <c r="D88" s="7" t="inlineStr">
        <is>
          <t>EUR</t>
        </is>
      </c>
      <c r="E88" s="9" t="inlineStr">
        <is>
          <t>送金/入出金</t>
        </is>
      </c>
      <c r="F88" s="7" t="inlineStr">
        <is>
          <t>COMPLETED</t>
        </is>
      </c>
      <c r="G88" s="7" t="inlineStr">
        <is>
          <t>Money added</t>
        </is>
      </c>
      <c r="H88" s="7" t="n"/>
      <c r="I88" s="10" t="inlineStr">
        <is>
          <t>exported-activities.pdf（Wiseカード）</t>
        </is>
      </c>
      <c r="J88" s="11" t="inlineStr">
        <is>
          <t>共通</t>
        </is>
      </c>
      <c r="K88" s="12">
        <f>TEXT(A88,"YYYY-MM")</f>
        <v/>
      </c>
    </row>
    <row r="89" ht="15" customHeight="1">
      <c r="A89" s="7" t="inlineStr">
        <is>
          <t>2026-09-01</t>
        </is>
      </c>
      <c r="B89" s="7" t="inlineStr">
        <is>
          <t>AMORINO OPERA</t>
        </is>
      </c>
      <c r="C89" s="54" t="n">
        <v>-8.699999999999999</v>
      </c>
      <c r="D89" s="7" t="inlineStr">
        <is>
          <t>EUR</t>
        </is>
      </c>
      <c r="E89" s="9" t="inlineStr">
        <is>
          <t>カード決済</t>
        </is>
      </c>
      <c r="F89" s="7" t="inlineStr">
        <is>
          <t>COMPLETED</t>
        </is>
      </c>
      <c r="G89" s="7" t="inlineStr">
        <is>
          <t>Eating out</t>
        </is>
      </c>
      <c r="H89" s="7" t="n">
        <v>2168.02</v>
      </c>
      <c r="I89" s="10" t="inlineStr">
        <is>
          <t>meisai_20261003212728842.pdf（SMBC信託銀行カード）</t>
        </is>
      </c>
      <c r="J89" s="11" t="inlineStr">
        <is>
          <t>共通</t>
        </is>
      </c>
      <c r="K89" s="12">
        <f>TEXT(A89,"YYYY-MM")</f>
        <v/>
      </c>
    </row>
    <row r="90" ht="15" customHeight="1">
      <c r="A90" s="7" t="inlineStr">
        <is>
          <t>2026-09-01</t>
        </is>
      </c>
      <c r="B90" s="7" t="inlineStr">
        <is>
          <t>CREPE AVENUE</t>
        </is>
      </c>
      <c r="C90" s="54" t="n">
        <v>-27.5</v>
      </c>
      <c r="D90" s="7" t="inlineStr">
        <is>
          <t>EUR</t>
        </is>
      </c>
      <c r="E90" s="9" t="inlineStr">
        <is>
          <t>カード決済</t>
        </is>
      </c>
      <c r="F90" s="7" t="inlineStr">
        <is>
          <t>COMPLETED</t>
        </is>
      </c>
      <c r="G90" s="7" t="inlineStr">
        <is>
          <t>Eating out</t>
        </is>
      </c>
      <c r="H90" s="7" t="n">
        <v>2143.95</v>
      </c>
      <c r="I90" s="10" t="inlineStr">
        <is>
          <t>meisai_20261003212728842.pdf（SMBC信託銀行カード）</t>
        </is>
      </c>
      <c r="J90" s="11" t="inlineStr">
        <is>
          <t>共通</t>
        </is>
      </c>
      <c r="K90" s="12">
        <f>TEXT(A90,"YYYY-MM")</f>
        <v/>
      </c>
    </row>
    <row r="91" ht="15" customHeight="1">
      <c r="A91" s="7" t="inlineStr">
        <is>
          <t>2026-08-29</t>
        </is>
      </c>
      <c r="B91" s="7" t="inlineStr">
        <is>
          <t>New Balance</t>
        </is>
      </c>
      <c r="C91" s="54" t="n">
        <v>-40</v>
      </c>
      <c r="D91" s="7" t="inlineStr">
        <is>
          <t>GBP</t>
        </is>
      </c>
      <c r="E91" s="9" t="inlineStr">
        <is>
          <t>カード決済</t>
        </is>
      </c>
      <c r="F91" s="7" t="inlineStr">
        <is>
          <t>COMPLETED</t>
        </is>
      </c>
      <c r="G91" s="7" t="inlineStr">
        <is>
          <t>Shopping</t>
        </is>
      </c>
      <c r="H91" s="7" t="n"/>
      <c r="I91" s="10" t="inlineStr">
        <is>
          <t>transaction-history.csv（Wiseカード）</t>
        </is>
      </c>
      <c r="J91" s="11" t="inlineStr">
        <is>
          <t>除外</t>
        </is>
      </c>
      <c r="K91" s="12">
        <f>TEXT(A91,"YYYY-MM")</f>
        <v/>
      </c>
    </row>
    <row r="92" ht="15" customHeight="1">
      <c r="A92" s="7" t="inlineStr">
        <is>
          <t>2026-08-29</t>
        </is>
      </c>
      <c r="B92" s="7" t="inlineStr">
        <is>
          <t>Swarovski</t>
        </is>
      </c>
      <c r="C92" s="54" t="n">
        <v>-70</v>
      </c>
      <c r="D92" s="7" t="inlineStr">
        <is>
          <t>GBP</t>
        </is>
      </c>
      <c r="E92" s="9" t="inlineStr">
        <is>
          <t>カード決済</t>
        </is>
      </c>
      <c r="F92" s="7" t="inlineStr">
        <is>
          <t>COMPLETED</t>
        </is>
      </c>
      <c r="G92" s="7" t="inlineStr">
        <is>
          <t>Shopping</t>
        </is>
      </c>
      <c r="H92" s="7" t="n">
        <v>2210.73</v>
      </c>
      <c r="I92" s="10" t="inlineStr">
        <is>
          <t>transaction-history.csv（Wiseカード）</t>
        </is>
      </c>
      <c r="J92" s="11" t="inlineStr">
        <is>
          <t>除外</t>
        </is>
      </c>
      <c r="K92" s="12">
        <f>TEXT(A92,"YYYY-MM")</f>
        <v/>
      </c>
    </row>
    <row r="93" ht="15" customHeight="1">
      <c r="A93" s="7" t="inlineStr">
        <is>
          <t>2026-08-29</t>
        </is>
      </c>
      <c r="B93" s="7" t="inlineStr">
        <is>
          <t>Molton Brown</t>
        </is>
      </c>
      <c r="C93" s="54" t="n">
        <v>-11</v>
      </c>
      <c r="D93" s="7" t="inlineStr">
        <is>
          <t>GBP</t>
        </is>
      </c>
      <c r="E93" s="9" t="inlineStr">
        <is>
          <t>カード決済</t>
        </is>
      </c>
      <c r="F93" s="7" t="inlineStr">
        <is>
          <t>COMPLETED</t>
        </is>
      </c>
      <c r="G93" s="7" t="inlineStr">
        <is>
          <t>Personal care</t>
        </is>
      </c>
      <c r="H93" s="7" t="n">
        <v>2208.73</v>
      </c>
      <c r="I93" s="10" t="inlineStr">
        <is>
          <t>transaction-history.csv（Wiseカード）</t>
        </is>
      </c>
      <c r="J93" s="11" t="inlineStr">
        <is>
          <t>共通</t>
        </is>
      </c>
      <c r="K93" s="12">
        <f>TEXT(A93,"YYYY-MM")</f>
        <v/>
      </c>
    </row>
    <row r="94" ht="15" customHeight="1">
      <c r="A94" s="7" t="inlineStr">
        <is>
          <t>2026-08-29</t>
        </is>
      </c>
      <c r="B94" s="7" t="inlineStr">
        <is>
          <t>Zwilling</t>
        </is>
      </c>
      <c r="C94" s="54" t="n">
        <v>-22.95</v>
      </c>
      <c r="D94" s="7" t="inlineStr">
        <is>
          <t>GBP</t>
        </is>
      </c>
      <c r="E94" s="9" t="inlineStr">
        <is>
          <t>カード決済</t>
        </is>
      </c>
      <c r="F94" s="7" t="inlineStr">
        <is>
          <t>COMPLETED</t>
        </is>
      </c>
      <c r="G94" s="7" t="inlineStr">
        <is>
          <t>Shopping</t>
        </is>
      </c>
      <c r="H94" s="7" t="n"/>
      <c r="I94" s="10" t="inlineStr">
        <is>
          <t>transaction-history.csv（Wiseカード）</t>
        </is>
      </c>
      <c r="J94" s="11" t="inlineStr">
        <is>
          <t>共通</t>
        </is>
      </c>
      <c r="K94" s="12">
        <f>TEXT(A94,"YYYY-MM")</f>
        <v/>
      </c>
    </row>
    <row r="95" ht="15" customHeight="1">
      <c r="A95" s="7" t="inlineStr">
        <is>
          <t>2026-08-29</t>
        </is>
      </c>
      <c r="B95" s="7" t="inlineStr">
        <is>
          <t>Fortnum &amp; Mason</t>
        </is>
      </c>
      <c r="C95" s="54" t="n">
        <v>-33.95</v>
      </c>
      <c r="D95" s="7" t="inlineStr">
        <is>
          <t>GBP</t>
        </is>
      </c>
      <c r="E95" s="9" t="inlineStr">
        <is>
          <t>カード決済</t>
        </is>
      </c>
      <c r="F95" s="7" t="inlineStr">
        <is>
          <t>COMPLETED</t>
        </is>
      </c>
      <c r="G95" s="7" t="inlineStr">
        <is>
          <t>Groceries</t>
        </is>
      </c>
      <c r="H95" s="7" t="n"/>
      <c r="I95" s="10" t="inlineStr">
        <is>
          <t>transaction-history.csv（Wiseカード）</t>
        </is>
      </c>
      <c r="J95" s="11" t="inlineStr">
        <is>
          <t>共通</t>
        </is>
      </c>
      <c r="K95" s="12">
        <f>TEXT(A95,"YYYY-MM")</f>
        <v/>
      </c>
    </row>
    <row r="96" ht="15" customHeight="1">
      <c r="A96" s="7" t="inlineStr">
        <is>
          <t>2026-08-29</t>
        </is>
      </c>
      <c r="B96" s="7" t="inlineStr">
        <is>
          <t>Calvin Klein</t>
        </is>
      </c>
      <c r="C96" s="54" t="n">
        <v>-31</v>
      </c>
      <c r="D96" s="7" t="inlineStr">
        <is>
          <t>GBP</t>
        </is>
      </c>
      <c r="E96" s="9" t="inlineStr">
        <is>
          <t>カード決済</t>
        </is>
      </c>
      <c r="F96" s="7" t="inlineStr">
        <is>
          <t>COMPLETED</t>
        </is>
      </c>
      <c r="G96" s="7" t="inlineStr">
        <is>
          <t>Shopping</t>
        </is>
      </c>
      <c r="H96" s="7" t="n"/>
      <c r="I96" s="10" t="inlineStr">
        <is>
          <t>transaction-history.csv（Wiseカード）</t>
        </is>
      </c>
      <c r="J96" s="11" t="inlineStr">
        <is>
          <t>共通</t>
        </is>
      </c>
      <c r="K96" s="12">
        <f>TEXT(A96,"YYYY-MM")</f>
        <v/>
      </c>
    </row>
    <row r="97" ht="15" customHeight="1">
      <c r="A97" s="7" t="inlineStr">
        <is>
          <t>2026-08-29</t>
        </is>
      </c>
      <c r="B97" s="7" t="inlineStr">
        <is>
          <t>David Clulow Opticians</t>
        </is>
      </c>
      <c r="C97" s="54" t="n">
        <v>-180</v>
      </c>
      <c r="D97" s="7" t="inlineStr">
        <is>
          <t>GBP</t>
        </is>
      </c>
      <c r="E97" s="9" t="inlineStr">
        <is>
          <t>カード決済</t>
        </is>
      </c>
      <c r="F97" s="7" t="inlineStr">
        <is>
          <t>COMPLETED</t>
        </is>
      </c>
      <c r="G97" s="7" t="inlineStr">
        <is>
          <t>Shopping</t>
        </is>
      </c>
      <c r="H97" s="7" t="n">
        <v>2237.83</v>
      </c>
      <c r="I97" s="10" t="inlineStr">
        <is>
          <t>transaction-history.csv（Wiseカード）</t>
        </is>
      </c>
      <c r="J97" s="11" t="inlineStr">
        <is>
          <t>共通</t>
        </is>
      </c>
      <c r="K97" s="12">
        <f>TEXT(A97,"YYYY-MM")</f>
        <v/>
      </c>
    </row>
    <row r="98" ht="15" customHeight="1">
      <c r="A98" s="7" t="inlineStr">
        <is>
          <t>2026-08-29</t>
        </is>
      </c>
      <c r="B98" s="7" t="inlineStr">
        <is>
          <t>Deckers Brands</t>
        </is>
      </c>
      <c r="C98" s="54" t="n">
        <v>-62.05</v>
      </c>
      <c r="D98" s="7" t="inlineStr">
        <is>
          <t>GBP</t>
        </is>
      </c>
      <c r="E98" s="9" t="inlineStr">
        <is>
          <t>カード決済</t>
        </is>
      </c>
      <c r="F98" s="7" t="inlineStr">
        <is>
          <t>COMPLETED</t>
        </is>
      </c>
      <c r="G98" s="7" t="inlineStr">
        <is>
          <t>Shopping</t>
        </is>
      </c>
      <c r="H98" s="7" t="n"/>
      <c r="I98" s="10" t="inlineStr">
        <is>
          <t>transaction-history.csv（Wiseカード）</t>
        </is>
      </c>
      <c r="J98" s="11" t="inlineStr">
        <is>
          <t>共通</t>
        </is>
      </c>
      <c r="K98" s="12">
        <f>TEXT(A98,"YYYY-MM")</f>
        <v/>
      </c>
    </row>
    <row r="99" ht="15" customHeight="1">
      <c r="A99" s="7" t="inlineStr">
        <is>
          <t>2026-08-29</t>
        </is>
      </c>
      <c r="B99" s="7" t="inlineStr">
        <is>
          <t>E346 1006 Bicester</t>
        </is>
      </c>
      <c r="C99" s="54" t="n">
        <v>-181</v>
      </c>
      <c r="D99" s="7" t="inlineStr">
        <is>
          <t>GBP</t>
        </is>
      </c>
      <c r="E99" s="9" t="inlineStr">
        <is>
          <t>カード決済</t>
        </is>
      </c>
      <c r="F99" s="7" t="inlineStr">
        <is>
          <t>COMPLETED</t>
        </is>
      </c>
      <c r="G99" s="7" t="inlineStr">
        <is>
          <t>Shopping</t>
        </is>
      </c>
      <c r="H99" s="7" t="n"/>
      <c r="I99" s="10" t="inlineStr">
        <is>
          <t>transaction-history.csv（Wiseカード）</t>
        </is>
      </c>
      <c r="J99" s="11" t="inlineStr">
        <is>
          <t>共通</t>
        </is>
      </c>
      <c r="K99" s="12">
        <f>TEXT(A99,"YYYY-MM")</f>
        <v/>
      </c>
    </row>
    <row r="100" ht="15" customHeight="1">
      <c r="A100" s="7" t="inlineStr">
        <is>
          <t>2026-08-29</t>
        </is>
      </c>
      <c r="B100" s="7" t="inlineStr">
        <is>
          <t>PAYPAL *CHILTERN PP</t>
        </is>
      </c>
      <c r="C100" s="54" t="n">
        <v>-35.9</v>
      </c>
      <c r="D100" s="7" t="inlineStr">
        <is>
          <t>GBP</t>
        </is>
      </c>
      <c r="E100" s="9" t="inlineStr">
        <is>
          <t>カード決済</t>
        </is>
      </c>
      <c r="F100" s="7" t="inlineStr">
        <is>
          <t>COMPLETED</t>
        </is>
      </c>
      <c r="G100" s="7" t="inlineStr">
        <is>
          <t>Transport</t>
        </is>
      </c>
      <c r="H100" s="7" t="n">
        <v>94.29000000000001</v>
      </c>
      <c r="I100" s="10" t="inlineStr">
        <is>
          <t>FutsuRireki.csv（普通預金Visaデビット）</t>
        </is>
      </c>
      <c r="J100" s="11" t="inlineStr">
        <is>
          <t>共通</t>
        </is>
      </c>
      <c r="K100" s="12">
        <f>TEXT(A100,"YYYY-MM")</f>
        <v/>
      </c>
    </row>
    <row r="101" ht="15" customHeight="1">
      <c r="A101" s="7" t="inlineStr">
        <is>
          <t>2026-08-28</t>
        </is>
      </c>
      <c r="B101" s="7" t="inlineStr">
        <is>
          <t>TfL - Transport for London</t>
        </is>
      </c>
      <c r="C101" s="54" t="n">
        <v>-10</v>
      </c>
      <c r="D101" s="7" t="inlineStr">
        <is>
          <t>GBP</t>
        </is>
      </c>
      <c r="E101" s="9" t="inlineStr">
        <is>
          <t>カード決済</t>
        </is>
      </c>
      <c r="F101" s="7" t="inlineStr">
        <is>
          <t>COMPLETED</t>
        </is>
      </c>
      <c r="G101" s="7" t="inlineStr">
        <is>
          <t>Transport</t>
        </is>
      </c>
      <c r="H101" s="7" t="n">
        <v>2320.53</v>
      </c>
      <c r="I101" s="10" t="inlineStr">
        <is>
          <t>transaction-history.csv（Wiseカード）</t>
        </is>
      </c>
      <c r="J101" s="11" t="inlineStr">
        <is>
          <t>共通</t>
        </is>
      </c>
      <c r="K101" s="12">
        <f>TEXT(A101,"YYYY-MM")</f>
        <v/>
      </c>
    </row>
    <row r="102" ht="15" customHeight="1">
      <c r="A102" s="7" t="inlineStr">
        <is>
          <t>2026-08-28</t>
        </is>
      </c>
      <c r="B102" s="7" t="inlineStr">
        <is>
          <t>TfL - Transport for London</t>
        </is>
      </c>
      <c r="C102" s="54" t="n">
        <v>-10</v>
      </c>
      <c r="D102" s="7" t="inlineStr">
        <is>
          <t>GBP</t>
        </is>
      </c>
      <c r="E102" s="9" t="inlineStr">
        <is>
          <t>カード決済</t>
        </is>
      </c>
      <c r="F102" s="7" t="inlineStr">
        <is>
          <t>COMPLETED</t>
        </is>
      </c>
      <c r="G102" s="7" t="inlineStr">
        <is>
          <t>Transport</t>
        </is>
      </c>
      <c r="H102" s="7" t="n">
        <v>2317.93</v>
      </c>
      <c r="I102" s="10" t="inlineStr">
        <is>
          <t>transaction-history.csv（Wiseカード）</t>
        </is>
      </c>
      <c r="J102" s="11" t="inlineStr">
        <is>
          <t>共通</t>
        </is>
      </c>
      <c r="K102" s="12">
        <f>TEXT(A102,"YYYY-MM")</f>
        <v/>
      </c>
    </row>
    <row r="103" ht="15" customHeight="1">
      <c r="A103" s="7" t="inlineStr">
        <is>
          <t>2026-08-27</t>
        </is>
      </c>
      <c r="B103" s="7" t="inlineStr">
        <is>
          <t>Wingstop</t>
        </is>
      </c>
      <c r="C103" s="54" t="n">
        <v>-11.75</v>
      </c>
      <c r="D103" s="7" t="inlineStr">
        <is>
          <t>GBP</t>
        </is>
      </c>
      <c r="E103" s="9" t="inlineStr">
        <is>
          <t>カード決済</t>
        </is>
      </c>
      <c r="F103" s="7" t="inlineStr">
        <is>
          <t>COMPLETED</t>
        </is>
      </c>
      <c r="G103" s="7" t="inlineStr">
        <is>
          <t>Eating out</t>
        </is>
      </c>
      <c r="H103" s="7" t="n">
        <v>2300.28</v>
      </c>
      <c r="I103" s="10" t="inlineStr">
        <is>
          <t>transaction-history.csv（Wiseカード）</t>
        </is>
      </c>
      <c r="J103" s="11" t="inlineStr">
        <is>
          <t>共通</t>
        </is>
      </c>
      <c r="K103" s="12">
        <f>TEXT(A103,"YYYY-MM")</f>
        <v/>
      </c>
    </row>
    <row r="104" ht="15" customHeight="1">
      <c r="A104" s="7" t="inlineStr">
        <is>
          <t>2026-08-27</t>
        </is>
      </c>
      <c r="B104" s="7" t="inlineStr">
        <is>
          <t>Calvin Klein</t>
        </is>
      </c>
      <c r="C104" s="54" t="n">
        <v>-90</v>
      </c>
      <c r="D104" s="7" t="inlineStr">
        <is>
          <t>GBP</t>
        </is>
      </c>
      <c r="E104" s="9" t="inlineStr">
        <is>
          <t>カード決済</t>
        </is>
      </c>
      <c r="F104" s="7" t="inlineStr">
        <is>
          <t>COMPLETED</t>
        </is>
      </c>
      <c r="G104" s="7" t="inlineStr">
        <is>
          <t>Shopping</t>
        </is>
      </c>
      <c r="H104" s="7" t="n">
        <v>2275.53</v>
      </c>
      <c r="I104" s="10" t="inlineStr">
        <is>
          <t>transaction-history.csv（Wiseカード）</t>
        </is>
      </c>
      <c r="J104" s="11" t="inlineStr">
        <is>
          <t>共通</t>
        </is>
      </c>
      <c r="K104" s="12">
        <f>TEXT(A104,"YYYY-MM")</f>
        <v/>
      </c>
    </row>
    <row r="105" ht="15" customHeight="1">
      <c r="A105" s="7" t="inlineStr">
        <is>
          <t>2026-08-27</t>
        </is>
      </c>
      <c r="B105" s="7" t="inlineStr">
        <is>
          <t>Calvin Klein</t>
        </is>
      </c>
      <c r="C105" s="54" t="n">
        <v>-90</v>
      </c>
      <c r="D105" s="7" t="inlineStr">
        <is>
          <t>GBP</t>
        </is>
      </c>
      <c r="E105" s="9" t="inlineStr">
        <is>
          <t>カード決済</t>
        </is>
      </c>
      <c r="F105" s="7" t="inlineStr">
        <is>
          <t>CANCELLED</t>
        </is>
      </c>
      <c r="G105" s="7" t="inlineStr">
        <is>
          <t>Shopping</t>
        </is>
      </c>
      <c r="H105" s="7" t="n"/>
      <c r="I105" s="10" t="inlineStr">
        <is>
          <t>transaction-history.csv（Wiseカード）</t>
        </is>
      </c>
      <c r="J105" s="11" t="inlineStr">
        <is>
          <t>共通</t>
        </is>
      </c>
      <c r="K105" s="12">
        <f>TEXT(A105,"YYYY-MM")</f>
        <v/>
      </c>
    </row>
    <row r="106" ht="15" customHeight="1">
      <c r="A106" s="7" t="inlineStr">
        <is>
          <t>2026-08-27</t>
        </is>
      </c>
      <c r="B106" s="7" t="inlineStr">
        <is>
          <t>Tommy Hilfiger</t>
        </is>
      </c>
      <c r="C106" s="54" t="n">
        <v>-40</v>
      </c>
      <c r="D106" s="7" t="inlineStr">
        <is>
          <t>GBP</t>
        </is>
      </c>
      <c r="E106" s="9" t="inlineStr">
        <is>
          <t>カード決済</t>
        </is>
      </c>
      <c r="F106" s="7" t="inlineStr">
        <is>
          <t>COMPLETED</t>
        </is>
      </c>
      <c r="G106" s="7" t="inlineStr">
        <is>
          <t>Shopping</t>
        </is>
      </c>
      <c r="H106" s="7" t="n">
        <v>2447.69</v>
      </c>
      <c r="I106" s="10" t="inlineStr">
        <is>
          <t>transaction-history.csv（Wiseカード）</t>
        </is>
      </c>
      <c r="J106" s="11" t="inlineStr">
        <is>
          <t>共通</t>
        </is>
      </c>
      <c r="K106" s="12">
        <f>TEXT(A106,"YYYY-MM")</f>
        <v/>
      </c>
    </row>
    <row r="107" ht="15" customHeight="1">
      <c r="A107" s="7" t="inlineStr">
        <is>
          <t>2026-08-26</t>
        </is>
      </c>
      <c r="B107" s="7" t="inlineStr">
        <is>
          <t>Bone Daddies</t>
        </is>
      </c>
      <c r="C107" s="54" t="n">
        <v>-37.01</v>
      </c>
      <c r="D107" s="7" t="inlineStr">
        <is>
          <t>GBP</t>
        </is>
      </c>
      <c r="E107" s="9" t="inlineStr">
        <is>
          <t>カード決済</t>
        </is>
      </c>
      <c r="F107" s="7" t="inlineStr">
        <is>
          <t>COMPLETED</t>
        </is>
      </c>
      <c r="G107" s="7" t="inlineStr">
        <is>
          <t>Eating out</t>
        </is>
      </c>
      <c r="H107" s="7" t="n">
        <v>2432.69</v>
      </c>
      <c r="I107" s="10" t="inlineStr">
        <is>
          <t>transaction-history.csv（Wiseカード）</t>
        </is>
      </c>
      <c r="J107" s="11" t="inlineStr">
        <is>
          <t>共通</t>
        </is>
      </c>
      <c r="K107" s="12">
        <f>TEXT(A107,"YYYY-MM")</f>
        <v/>
      </c>
    </row>
    <row r="108" ht="15" customHeight="1">
      <c r="A108" s="7" t="inlineStr">
        <is>
          <t>2026-08-25</t>
        </is>
      </c>
      <c r="B108" s="7" t="inlineStr">
        <is>
          <t>Tesco</t>
        </is>
      </c>
      <c r="C108" s="54" t="n">
        <v>-9.029999999999999</v>
      </c>
      <c r="D108" s="7" t="inlineStr">
        <is>
          <t>GBP</t>
        </is>
      </c>
      <c r="E108" s="9" t="inlineStr">
        <is>
          <t>カード決済</t>
        </is>
      </c>
      <c r="F108" s="7" t="inlineStr">
        <is>
          <t>COMPLETED</t>
        </is>
      </c>
      <c r="G108" s="7" t="inlineStr">
        <is>
          <t>Groceries</t>
        </is>
      </c>
      <c r="H108" s="7" t="n">
        <v>2431.49</v>
      </c>
      <c r="I108" s="10" t="inlineStr">
        <is>
          <t>transaction-history.csv（Wiseカード）</t>
        </is>
      </c>
      <c r="J108" s="11" t="inlineStr">
        <is>
          <t>共通</t>
        </is>
      </c>
      <c r="K108" s="12">
        <f>TEXT(A108,"YYYY-MM")</f>
        <v/>
      </c>
    </row>
    <row r="109" ht="15" customHeight="1">
      <c r="A109" s="7" t="inlineStr">
        <is>
          <t>2026-08-24</t>
        </is>
      </c>
      <c r="B109" s="7" t="inlineStr">
        <is>
          <t>SQ *MACCARUNA</t>
        </is>
      </c>
      <c r="C109" s="54" t="n">
        <v>-3.2</v>
      </c>
      <c r="D109" s="7" t="inlineStr">
        <is>
          <t>GBP</t>
        </is>
      </c>
      <c r="E109" s="9" t="inlineStr">
        <is>
          <t>カード決済</t>
        </is>
      </c>
      <c r="F109" s="7" t="inlineStr">
        <is>
          <t>COMPLETED</t>
        </is>
      </c>
      <c r="G109" s="7" t="inlineStr">
        <is>
          <t>Eating out</t>
        </is>
      </c>
      <c r="H109" s="7" t="n">
        <v>133.34</v>
      </c>
      <c r="I109" s="10" t="inlineStr">
        <is>
          <t>FutsuRireki.csv（普通預金Visaデビット）</t>
        </is>
      </c>
      <c r="J109" s="11" t="inlineStr">
        <is>
          <t>共通</t>
        </is>
      </c>
      <c r="K109" s="12">
        <f>TEXT(A109,"YYYY-MM")</f>
        <v/>
      </c>
    </row>
    <row r="110">
      <c r="A110" s="7" t="inlineStr">
        <is>
          <t>2026-08-24</t>
        </is>
      </c>
      <c r="B110" s="7" t="inlineStr">
        <is>
          <t>EAGLE</t>
        </is>
      </c>
      <c r="C110" s="54" t="n">
        <v>-3.15</v>
      </c>
      <c r="D110" s="7" t="inlineStr">
        <is>
          <t>GBP</t>
        </is>
      </c>
      <c r="E110" s="9" t="inlineStr">
        <is>
          <t>カード決済</t>
        </is>
      </c>
      <c r="F110" s="7" t="inlineStr">
        <is>
          <t>COMPLETED</t>
        </is>
      </c>
      <c r="G110" s="7" t="inlineStr">
        <is>
          <t>Eating out</t>
        </is>
      </c>
      <c r="H110" s="7" t="n">
        <v>130.19</v>
      </c>
      <c r="I110" s="10" t="inlineStr">
        <is>
          <t>FutsuRireki.csv（普通預金Visaデビット）</t>
        </is>
      </c>
      <c r="J110" s="11" t="inlineStr">
        <is>
          <t>共通</t>
        </is>
      </c>
      <c r="K110" s="12">
        <f>TEXT(A110,"YYYY-MM")</f>
        <v/>
      </c>
    </row>
    <row r="111">
      <c r="A111" s="7" t="inlineStr">
        <is>
          <t>2026-08-23</t>
        </is>
      </c>
      <c r="B111" s="7" t="inlineStr">
        <is>
          <t>TfL - Transport for London</t>
        </is>
      </c>
      <c r="C111" s="54" t="n">
        <v>-5</v>
      </c>
      <c r="D111" s="7" t="inlineStr">
        <is>
          <t>GBP</t>
        </is>
      </c>
      <c r="E111" s="9" t="inlineStr">
        <is>
          <t>カード決済</t>
        </is>
      </c>
      <c r="F111" s="7" t="inlineStr">
        <is>
          <t>COMPLETED</t>
        </is>
      </c>
      <c r="G111" s="7" t="inlineStr">
        <is>
          <t>Transport</t>
        </is>
      </c>
      <c r="H111" s="7" t="n"/>
      <c r="I111" s="10" t="inlineStr">
        <is>
          <t>transaction-history.csv（Wiseカード）</t>
        </is>
      </c>
      <c r="J111" s="11" t="inlineStr">
        <is>
          <t>共通</t>
        </is>
      </c>
      <c r="K111" s="12">
        <f>TEXT(A111,"YYYY-MM")</f>
        <v/>
      </c>
    </row>
    <row r="112">
      <c r="A112" s="7" t="inlineStr">
        <is>
          <t>2026-08-23</t>
        </is>
      </c>
      <c r="B112" s="7" t="inlineStr">
        <is>
          <t>YUJI HIJIKATA</t>
        </is>
      </c>
      <c r="C112" s="54" t="n">
        <v>22</v>
      </c>
      <c r="D112" s="7" t="inlineStr">
        <is>
          <t>GBP</t>
        </is>
      </c>
      <c r="E112" s="9" t="inlineStr">
        <is>
          <t>送金/入出金</t>
        </is>
      </c>
      <c r="F112" s="7" t="inlineStr">
        <is>
          <t>COMPLETED</t>
        </is>
      </c>
      <c r="G112" s="7" t="inlineStr">
        <is>
          <t>Money added</t>
        </is>
      </c>
      <c r="H112" s="7" t="n"/>
      <c r="I112" s="10" t="inlineStr">
        <is>
          <t>transaction-history.csv（Wiseカード）</t>
        </is>
      </c>
      <c r="J112" s="11" t="inlineStr">
        <is>
          <t>共通</t>
        </is>
      </c>
      <c r="K112" s="12">
        <f>TEXT(A112,"YYYY-MM")</f>
        <v/>
      </c>
    </row>
    <row r="113">
      <c r="A113" s="7" t="inlineStr">
        <is>
          <t>2026-08-23</t>
        </is>
      </c>
      <c r="B113" s="7" t="inlineStr">
        <is>
          <t>The Eagle Pub &amp; Restaurant</t>
        </is>
      </c>
      <c r="C113" s="54" t="n">
        <v>-3.25</v>
      </c>
      <c r="D113" s="7" t="inlineStr">
        <is>
          <t>GBP</t>
        </is>
      </c>
      <c r="E113" s="9" t="inlineStr">
        <is>
          <t>カード決済</t>
        </is>
      </c>
      <c r="F113" s="7" t="inlineStr">
        <is>
          <t>COMPLETED</t>
        </is>
      </c>
      <c r="G113" s="7" t="inlineStr">
        <is>
          <t>Eating out</t>
        </is>
      </c>
      <c r="H113" s="7" t="n"/>
      <c r="I113" s="10" t="inlineStr">
        <is>
          <t>transaction-history.csv（Wiseカード）</t>
        </is>
      </c>
      <c r="J113" s="11" t="inlineStr">
        <is>
          <t>共通</t>
        </is>
      </c>
      <c r="K113" s="12">
        <f>TEXT(A113,"YYYY-MM")</f>
        <v/>
      </c>
    </row>
    <row r="114">
      <c r="A114" s="7" t="inlineStr">
        <is>
          <t>2026-08-23</t>
        </is>
      </c>
      <c r="B114" s="7" t="inlineStr">
        <is>
          <t>The Eagle Pub &amp; Restaurant</t>
        </is>
      </c>
      <c r="C114" s="54" t="n">
        <v>-3.45</v>
      </c>
      <c r="D114" s="7" t="inlineStr">
        <is>
          <t>GBP</t>
        </is>
      </c>
      <c r="E114" s="9" t="inlineStr">
        <is>
          <t>カード決済</t>
        </is>
      </c>
      <c r="F114" s="7" t="inlineStr">
        <is>
          <t>COMPLETED</t>
        </is>
      </c>
      <c r="G114" s="7" t="inlineStr">
        <is>
          <t>Eating out</t>
        </is>
      </c>
      <c r="H114" s="7" t="n"/>
      <c r="I114" s="10" t="inlineStr">
        <is>
          <t>transaction-history.csv（Wiseカード）</t>
        </is>
      </c>
      <c r="J114" s="11" t="inlineStr">
        <is>
          <t>共通</t>
        </is>
      </c>
      <c r="K114" s="12">
        <f>TEXT(A114,"YYYY-MM")</f>
        <v/>
      </c>
    </row>
    <row r="115">
      <c r="A115" s="7" t="inlineStr">
        <is>
          <t>2026-08-23</t>
        </is>
      </c>
      <c r="B115" s="7" t="inlineStr">
        <is>
          <t>The Eagle Pub &amp; Restaurant</t>
        </is>
      </c>
      <c r="C115" s="54" t="n">
        <v>-6.75</v>
      </c>
      <c r="D115" s="7" t="inlineStr">
        <is>
          <t>GBP</t>
        </is>
      </c>
      <c r="E115" s="9" t="inlineStr">
        <is>
          <t>カード決済</t>
        </is>
      </c>
      <c r="F115" s="7" t="inlineStr">
        <is>
          <t>COMPLETED</t>
        </is>
      </c>
      <c r="G115" s="7" t="inlineStr">
        <is>
          <t>Eating out</t>
        </is>
      </c>
      <c r="H115" s="7" t="n"/>
      <c r="I115" s="10" t="inlineStr">
        <is>
          <t>transaction-history.csv（Wiseカード）</t>
        </is>
      </c>
      <c r="J115" s="11" t="inlineStr">
        <is>
          <t>共通</t>
        </is>
      </c>
      <c r="K115" s="12">
        <f>TEXT(A115,"YYYY-MM")</f>
        <v/>
      </c>
    </row>
    <row r="116">
      <c r="A116" s="7" t="inlineStr">
        <is>
          <t>2026-08-23</t>
        </is>
      </c>
      <c r="B116" s="7" t="inlineStr">
        <is>
          <t>Maccaruna</t>
        </is>
      </c>
      <c r="C116" s="54" t="n">
        <v>-24</v>
      </c>
      <c r="D116" s="7" t="inlineStr">
        <is>
          <t>GBP</t>
        </is>
      </c>
      <c r="E116" s="9" t="inlineStr">
        <is>
          <t>カード決済</t>
        </is>
      </c>
      <c r="F116" s="7" t="inlineStr">
        <is>
          <t>COMPLETED</t>
        </is>
      </c>
      <c r="G116" s="7" t="inlineStr">
        <is>
          <t>Eating out</t>
        </is>
      </c>
      <c r="H116" s="7" t="n"/>
      <c r="I116" s="10" t="inlineStr">
        <is>
          <t>transaction-history.csv（Wiseカード）</t>
        </is>
      </c>
      <c r="J116" s="11" t="inlineStr">
        <is>
          <t>共通</t>
        </is>
      </c>
      <c r="K116" s="12">
        <f>TEXT(A116,"YYYY-MM")</f>
        <v/>
      </c>
    </row>
    <row r="117">
      <c r="A117" s="7" t="inlineStr">
        <is>
          <t>2026-08-23</t>
        </is>
      </c>
      <c r="B117" s="7" t="inlineStr">
        <is>
          <t>St Johns Enterprises</t>
        </is>
      </c>
      <c r="C117" s="54" t="n">
        <v>-10</v>
      </c>
      <c r="D117" s="7" t="inlineStr">
        <is>
          <t>GBP</t>
        </is>
      </c>
      <c r="E117" s="9" t="inlineStr">
        <is>
          <t>カード決済</t>
        </is>
      </c>
      <c r="F117" s="7" t="inlineStr">
        <is>
          <t>COMPLETED</t>
        </is>
      </c>
      <c r="G117" s="7" t="inlineStr">
        <is>
          <t>Entertainment</t>
        </is>
      </c>
      <c r="H117" s="7" t="n"/>
      <c r="I117" s="10" t="inlineStr">
        <is>
          <t>transaction-history.csv（Wiseカード）</t>
        </is>
      </c>
      <c r="J117" s="11" t="inlineStr">
        <is>
          <t>共通</t>
        </is>
      </c>
      <c r="K117" s="12">
        <f>TEXT(A117,"YYYY-MM")</f>
        <v/>
      </c>
    </row>
    <row r="118">
      <c r="A118" s="7" t="inlineStr">
        <is>
          <t>2026-08-23</t>
        </is>
      </c>
      <c r="B118" s="7" t="inlineStr">
        <is>
          <t>Cambridge Gift Shop</t>
        </is>
      </c>
      <c r="C118" s="54" t="n">
        <v>-2</v>
      </c>
      <c r="D118" s="7" t="inlineStr">
        <is>
          <t>GBP</t>
        </is>
      </c>
      <c r="E118" s="9" t="inlineStr">
        <is>
          <t>カード決済</t>
        </is>
      </c>
      <c r="F118" s="7" t="inlineStr">
        <is>
          <t>COMPLETED</t>
        </is>
      </c>
      <c r="G118" s="7" t="inlineStr">
        <is>
          <t>Shopping</t>
        </is>
      </c>
      <c r="H118" s="7" t="n"/>
      <c r="I118" s="10" t="inlineStr">
        <is>
          <t>transaction-history.csv（Wiseカード）</t>
        </is>
      </c>
      <c r="J118" s="11" t="inlineStr">
        <is>
          <t>共通</t>
        </is>
      </c>
      <c r="K118" s="12">
        <f>TEXT(A118,"YYYY-MM")</f>
        <v/>
      </c>
    </row>
    <row r="119">
      <c r="A119" s="7" t="inlineStr">
        <is>
          <t>2026-08-23</t>
        </is>
      </c>
      <c r="B119" s="7" t="inlineStr">
        <is>
          <t>Aromi Benet Street</t>
        </is>
      </c>
      <c r="C119" s="54" t="n">
        <v>-36.8</v>
      </c>
      <c r="D119" s="7" t="inlineStr">
        <is>
          <t>GBP</t>
        </is>
      </c>
      <c r="E119" s="9" t="inlineStr">
        <is>
          <t>カード決済</t>
        </is>
      </c>
      <c r="F119" s="7" t="inlineStr">
        <is>
          <t>COMPLETED</t>
        </is>
      </c>
      <c r="G119" s="7" t="inlineStr">
        <is>
          <t>Eating out</t>
        </is>
      </c>
      <c r="H119" s="7" t="n"/>
      <c r="I119" s="10" t="inlineStr">
        <is>
          <t>transaction-history.csv（Wiseカード）</t>
        </is>
      </c>
      <c r="J119" s="11" t="inlineStr">
        <is>
          <t>共通</t>
        </is>
      </c>
      <c r="K119" s="12">
        <f>TEXT(A119,"YYYY-MM")</f>
        <v/>
      </c>
    </row>
    <row r="120">
      <c r="A120" s="7" t="inlineStr">
        <is>
          <t>2026-08-23</t>
        </is>
      </c>
      <c r="B120" s="7" t="inlineStr">
        <is>
          <t>King's College Cambridge</t>
        </is>
      </c>
      <c r="C120" s="54" t="n">
        <v>-18</v>
      </c>
      <c r="D120" s="7" t="inlineStr">
        <is>
          <t>GBP</t>
        </is>
      </c>
      <c r="E120" s="9" t="inlineStr">
        <is>
          <t>カード決済</t>
        </is>
      </c>
      <c r="F120" s="7" t="inlineStr">
        <is>
          <t>COMPLETED</t>
        </is>
      </c>
      <c r="G120" s="7" t="inlineStr">
        <is>
          <t>Shopping</t>
        </is>
      </c>
      <c r="H120" s="7" t="n"/>
      <c r="I120" s="10" t="inlineStr">
        <is>
          <t>transaction-history.csv（Wiseカード）</t>
        </is>
      </c>
      <c r="J120" s="11" t="inlineStr">
        <is>
          <t>共通</t>
        </is>
      </c>
      <c r="K120" s="12">
        <f>TEXT(A120,"YYYY-MM")</f>
        <v/>
      </c>
    </row>
    <row r="121">
      <c r="A121" s="7" t="inlineStr">
        <is>
          <t>2026-08-23</t>
        </is>
      </c>
      <c r="B121" s="7" t="inlineStr">
        <is>
          <t>Lndelibly Cambridge</t>
        </is>
      </c>
      <c r="C121" s="54" t="n">
        <v>-39.98</v>
      </c>
      <c r="D121" s="7" t="inlineStr">
        <is>
          <t>GBP</t>
        </is>
      </c>
      <c r="E121" s="9" t="inlineStr">
        <is>
          <t>カード決済</t>
        </is>
      </c>
      <c r="F121" s="7" t="inlineStr">
        <is>
          <t>COMPLETED</t>
        </is>
      </c>
      <c r="G121" s="7" t="inlineStr">
        <is>
          <t>Shopping</t>
        </is>
      </c>
      <c r="H121" s="7" t="n"/>
      <c r="I121" s="10" t="inlineStr">
        <is>
          <t>transaction-history.csv（Wiseカード）</t>
        </is>
      </c>
      <c r="J121" s="11" t="inlineStr">
        <is>
          <t>共通</t>
        </is>
      </c>
      <c r="K121" s="12">
        <f>TEXT(A121,"YYYY-MM")</f>
        <v/>
      </c>
    </row>
    <row r="122">
      <c r="A122" s="7" t="inlineStr">
        <is>
          <t>2026-08-23</t>
        </is>
      </c>
      <c r="B122" s="7" t="inlineStr">
        <is>
          <t>TfL - Transport for London</t>
        </is>
      </c>
      <c r="C122" s="54" t="n">
        <v>-15</v>
      </c>
      <c r="D122" s="7" t="inlineStr">
        <is>
          <t>GBP</t>
        </is>
      </c>
      <c r="E122" s="9" t="inlineStr">
        <is>
          <t>カード決済</t>
        </is>
      </c>
      <c r="F122" s="7" t="inlineStr">
        <is>
          <t>COMPLETED</t>
        </is>
      </c>
      <c r="G122" s="7" t="inlineStr">
        <is>
          <t>Transport</t>
        </is>
      </c>
      <c r="H122" s="7" t="n"/>
      <c r="I122" s="10" t="inlineStr">
        <is>
          <t>transaction-history.csv（Wiseカード）</t>
        </is>
      </c>
      <c r="J122" s="11" t="inlineStr">
        <is>
          <t>共通</t>
        </is>
      </c>
      <c r="K122" s="12">
        <f>TEXT(A122,"YYYY-MM")</f>
        <v/>
      </c>
    </row>
    <row r="123">
      <c r="A123" s="7" t="inlineStr">
        <is>
          <t>2026-08-23</t>
        </is>
      </c>
      <c r="B123" s="7" t="inlineStr">
        <is>
          <t>TfL - Transport for London</t>
        </is>
      </c>
      <c r="C123" s="54" t="n">
        <v>-15</v>
      </c>
      <c r="D123" s="7" t="inlineStr">
        <is>
          <t>GBP</t>
        </is>
      </c>
      <c r="E123" s="9" t="inlineStr">
        <is>
          <t>カード決済</t>
        </is>
      </c>
      <c r="F123" s="7" t="inlineStr">
        <is>
          <t>COMPLETED</t>
        </is>
      </c>
      <c r="G123" s="7" t="inlineStr">
        <is>
          <t>Transport</t>
        </is>
      </c>
      <c r="H123" s="7" t="n"/>
      <c r="I123" s="10" t="inlineStr">
        <is>
          <t>transaction-history.csv（Wiseカード）</t>
        </is>
      </c>
      <c r="J123" s="11" t="inlineStr">
        <is>
          <t>共通</t>
        </is>
      </c>
      <c r="K123" s="12">
        <f>TEXT(A123,"YYYY-MM")</f>
        <v/>
      </c>
    </row>
    <row r="124">
      <c r="A124" s="7" t="inlineStr">
        <is>
          <t>2026-08-23</t>
        </is>
      </c>
      <c r="B124" s="7" t="inlineStr">
        <is>
          <t>TFL TRAVEL CH</t>
        </is>
      </c>
      <c r="C124" s="54" t="n">
        <v>-1.75</v>
      </c>
      <c r="D124" s="7" t="inlineStr">
        <is>
          <t>GBP</t>
        </is>
      </c>
      <c r="E124" s="9" t="inlineStr">
        <is>
          <t>カード決済</t>
        </is>
      </c>
      <c r="F124" s="7" t="inlineStr">
        <is>
          <t>COMPLETED</t>
        </is>
      </c>
      <c r="G124" s="7" t="inlineStr">
        <is>
          <t>Transport</t>
        </is>
      </c>
      <c r="H124" s="7" t="n">
        <v>136.54</v>
      </c>
      <c r="I124" s="10" t="inlineStr">
        <is>
          <t>FutsuRireki.csv（普通預金Visaデビット）</t>
        </is>
      </c>
      <c r="J124" s="11" t="inlineStr">
        <is>
          <t>共通</t>
        </is>
      </c>
      <c r="K124" s="12">
        <f>TEXT(A124,"YYYY-MM")</f>
        <v/>
      </c>
    </row>
    <row r="125">
      <c r="A125" s="7" t="inlineStr">
        <is>
          <t>2026-08-22</t>
        </is>
      </c>
      <c r="B125" s="7" t="inlineStr">
        <is>
          <t>CELINE</t>
        </is>
      </c>
      <c r="C125" s="54" t="n">
        <v>-189</v>
      </c>
      <c r="D125" s="7" t="inlineStr">
        <is>
          <t>GBP</t>
        </is>
      </c>
      <c r="E125" s="9" t="inlineStr">
        <is>
          <t>カード決済</t>
        </is>
      </c>
      <c r="F125" s="7" t="inlineStr">
        <is>
          <t>COMPLETED</t>
        </is>
      </c>
      <c r="G125" s="7" t="inlineStr">
        <is>
          <t>Shopping</t>
        </is>
      </c>
      <c r="H125" s="7" t="n"/>
      <c r="I125" s="10" t="inlineStr">
        <is>
          <t>transaction-history.csv（Wiseカード）</t>
        </is>
      </c>
      <c r="J125" s="11" t="inlineStr">
        <is>
          <t>除外</t>
        </is>
      </c>
      <c r="K125" s="12">
        <f>TEXT(A125,"YYYY-MM")</f>
        <v/>
      </c>
    </row>
    <row r="126">
      <c r="A126" s="7" t="inlineStr">
        <is>
          <t>2026-08-22</t>
        </is>
      </c>
      <c r="B126" s="7" t="inlineStr">
        <is>
          <t>Shan Shui Restaurant</t>
        </is>
      </c>
      <c r="C126" s="54" t="n">
        <v>-25.26</v>
      </c>
      <c r="D126" s="7" t="inlineStr">
        <is>
          <t>GBP</t>
        </is>
      </c>
      <c r="E126" s="9" t="inlineStr">
        <is>
          <t>カード決済</t>
        </is>
      </c>
      <c r="F126" s="7" t="inlineStr">
        <is>
          <t>COMPLETED</t>
        </is>
      </c>
      <c r="G126" s="7" t="inlineStr">
        <is>
          <t>Eating out</t>
        </is>
      </c>
      <c r="H126" s="7" t="n"/>
      <c r="I126" s="10" t="inlineStr">
        <is>
          <t>transaction-history.csv（Wiseカード）</t>
        </is>
      </c>
      <c r="J126" s="11" t="inlineStr">
        <is>
          <t>共通</t>
        </is>
      </c>
      <c r="K126" s="12">
        <f>TEXT(A126,"YYYY-MM")</f>
        <v/>
      </c>
    </row>
    <row r="127">
      <c r="A127" s="7" t="inlineStr">
        <is>
          <t>2026-08-22</t>
        </is>
      </c>
      <c r="B127" s="7" t="inlineStr">
        <is>
          <t>TFL - Transport for London</t>
        </is>
      </c>
      <c r="C127" s="54" t="n">
        <v>-1.75</v>
      </c>
      <c r="D127" s="7" t="inlineStr">
        <is>
          <t>GBP</t>
        </is>
      </c>
      <c r="E127" s="9" t="inlineStr">
        <is>
          <t>カード決済</t>
        </is>
      </c>
      <c r="F127" s="7" t="inlineStr">
        <is>
          <t>COMPLETED</t>
        </is>
      </c>
      <c r="G127" s="7" t="inlineStr">
        <is>
          <t>Transport</t>
        </is>
      </c>
      <c r="H127" s="7" t="n"/>
      <c r="I127" s="10" t="inlineStr">
        <is>
          <t>transaction-history.csv（Wiseカード）</t>
        </is>
      </c>
      <c r="J127" s="11" t="inlineStr">
        <is>
          <t>共通</t>
        </is>
      </c>
      <c r="K127" s="12">
        <f>TEXT(A127,"YYYY-MM")</f>
        <v/>
      </c>
    </row>
    <row r="128">
      <c r="A128" s="7" t="inlineStr">
        <is>
          <t>2026-08-22</t>
        </is>
      </c>
      <c r="B128" s="7" t="inlineStr">
        <is>
          <t>CHILTERN RAILWAYS</t>
        </is>
      </c>
      <c r="C128" s="54" t="n">
        <v>-71.8</v>
      </c>
      <c r="D128" s="7" t="inlineStr">
        <is>
          <t>GBP</t>
        </is>
      </c>
      <c r="E128" s="9" t="inlineStr">
        <is>
          <t>カード決済</t>
        </is>
      </c>
      <c r="F128" s="7" t="inlineStr">
        <is>
          <t>COMPLETED</t>
        </is>
      </c>
      <c r="G128" s="7" t="inlineStr">
        <is>
          <t>Transport</t>
        </is>
      </c>
      <c r="H128" s="7" t="n">
        <v>138.29</v>
      </c>
      <c r="I128" s="10" t="inlineStr">
        <is>
          <t>FutsuRireki.csv（普通預金Visaデビット）</t>
        </is>
      </c>
      <c r="J128" s="11" t="inlineStr">
        <is>
          <t>共通</t>
        </is>
      </c>
      <c r="K128" s="12">
        <f>TEXT(A128,"YYYY-MM")</f>
        <v/>
      </c>
    </row>
    <row r="129">
      <c r="A129" s="7" t="inlineStr">
        <is>
          <t>2026-08-22</t>
        </is>
      </c>
      <c r="B129" s="7" t="inlineStr">
        <is>
          <t>Prada S832</t>
        </is>
      </c>
      <c r="C129" s="54" t="n">
        <v>-160</v>
      </c>
      <c r="D129" s="7" t="inlineStr">
        <is>
          <t>GBP</t>
        </is>
      </c>
      <c r="E129" s="9" t="inlineStr">
        <is>
          <t>カード決済</t>
        </is>
      </c>
      <c r="F129" s="7" t="inlineStr">
        <is>
          <t>COMPLETED</t>
        </is>
      </c>
      <c r="G129" s="7" t="inlineStr">
        <is>
          <t>Shopping</t>
        </is>
      </c>
      <c r="H129" s="7" t="n"/>
      <c r="I129" s="10" t="inlineStr">
        <is>
          <t>meisai_20260830053055919.pdf（SMBC信託銀行カード）</t>
        </is>
      </c>
      <c r="J129" s="11" t="inlineStr">
        <is>
          <t>除外</t>
        </is>
      </c>
      <c r="K129" s="12">
        <f>TEXT(A129,"YYYY-MM")</f>
        <v/>
      </c>
    </row>
    <row r="130">
      <c r="A130" s="7" t="inlineStr">
        <is>
          <t>2026-08-22</t>
        </is>
      </c>
      <c r="B130" s="7" t="inlineStr">
        <is>
          <t>MONCLER UK LTD</t>
        </is>
      </c>
      <c r="C130" s="54" t="n">
        <v>-1443.5</v>
      </c>
      <c r="D130" s="7" t="inlineStr">
        <is>
          <t>GBP</t>
        </is>
      </c>
      <c r="E130" s="9" t="inlineStr">
        <is>
          <t>カード決済</t>
        </is>
      </c>
      <c r="F130" s="7" t="inlineStr">
        <is>
          <t>COMPLETED</t>
        </is>
      </c>
      <c r="G130" s="7" t="inlineStr">
        <is>
          <t>Shopping</t>
        </is>
      </c>
      <c r="H130" s="7" t="n"/>
      <c r="I130" s="10" t="inlineStr">
        <is>
          <t>meisai_20260830053055919.pdf（SMBC信託銀行カード）</t>
        </is>
      </c>
      <c r="J130" s="11" t="inlineStr">
        <is>
          <t>除外</t>
        </is>
      </c>
      <c r="K130" s="12">
        <f>TEXT(A130,"YYYY-MM")</f>
        <v/>
      </c>
    </row>
    <row r="131">
      <c r="A131" s="7" t="inlineStr">
        <is>
          <t>2026-08-22</t>
        </is>
      </c>
      <c r="B131" s="7" t="inlineStr">
        <is>
          <t>Dior Couture Bicester Out</t>
        </is>
      </c>
      <c r="C131" s="54" t="n">
        <v>-1907</v>
      </c>
      <c r="D131" s="7" t="inlineStr">
        <is>
          <t>GBP</t>
        </is>
      </c>
      <c r="E131" s="9" t="inlineStr">
        <is>
          <t>カード決済</t>
        </is>
      </c>
      <c r="F131" s="7" t="inlineStr">
        <is>
          <t>COMPLETED</t>
        </is>
      </c>
      <c r="G131" s="7" t="inlineStr">
        <is>
          <t>Shopping</t>
        </is>
      </c>
      <c r="H131" s="7" t="n"/>
      <c r="I131" s="10" t="inlineStr">
        <is>
          <t>meisai_20260830053055919.pdf（SMBC信託銀行カード）</t>
        </is>
      </c>
      <c r="J131" s="11" t="inlineStr">
        <is>
          <t>除外</t>
        </is>
      </c>
      <c r="K131" s="12">
        <f>TEXT(A131,"YYYY-MM")</f>
        <v/>
      </c>
    </row>
    <row r="132">
      <c r="A132" s="7" t="inlineStr">
        <is>
          <t>2026-08-21</t>
        </is>
      </c>
      <c r="B132" s="7" t="inlineStr">
        <is>
          <t>Harrods</t>
        </is>
      </c>
      <c r="C132" s="54" t="n">
        <v>-28</v>
      </c>
      <c r="D132" s="7" t="inlineStr">
        <is>
          <t>GBP</t>
        </is>
      </c>
      <c r="E132" s="9" t="inlineStr">
        <is>
          <t>カード決済</t>
        </is>
      </c>
      <c r="F132" s="7" t="inlineStr">
        <is>
          <t>COMPLETED</t>
        </is>
      </c>
      <c r="G132" s="7" t="inlineStr">
        <is>
          <t>Shopping</t>
        </is>
      </c>
      <c r="H132" s="7" t="n"/>
      <c r="I132" s="10" t="inlineStr">
        <is>
          <t>transaction-history.csv（Wiseカード）</t>
        </is>
      </c>
      <c r="J132" s="11" t="inlineStr">
        <is>
          <t>共通</t>
        </is>
      </c>
      <c r="K132" s="12">
        <f>TEXT(A132,"YYYY-MM")</f>
        <v/>
      </c>
    </row>
    <row r="133">
      <c r="A133" s="7" t="inlineStr">
        <is>
          <t>2026-08-21</t>
        </is>
      </c>
      <c r="B133" s="7" t="inlineStr">
        <is>
          <t>Harrods</t>
        </is>
      </c>
      <c r="C133" s="54" t="n">
        <v>-105</v>
      </c>
      <c r="D133" s="7" t="inlineStr">
        <is>
          <t>GBP</t>
        </is>
      </c>
      <c r="E133" s="9" t="inlineStr">
        <is>
          <t>カード決済</t>
        </is>
      </c>
      <c r="F133" s="7" t="inlineStr">
        <is>
          <t>COMPLETED</t>
        </is>
      </c>
      <c r="G133" s="7" t="inlineStr">
        <is>
          <t>Shopping</t>
        </is>
      </c>
      <c r="H133" s="7" t="n"/>
      <c r="I133" s="10" t="inlineStr">
        <is>
          <t>transaction-history.csv（Wiseカード）</t>
        </is>
      </c>
      <c r="J133" s="11" t="inlineStr">
        <is>
          <t>共通</t>
        </is>
      </c>
      <c r="K133" s="12">
        <f>TEXT(A133,"YYYY-MM")</f>
        <v/>
      </c>
    </row>
    <row r="134">
      <c r="A134" s="7" t="inlineStr">
        <is>
          <t>2026-08-21</t>
        </is>
      </c>
      <c r="B134" s="7" t="inlineStr">
        <is>
          <t>TodayTix.com</t>
        </is>
      </c>
      <c r="C134" s="54" t="n">
        <v>-70</v>
      </c>
      <c r="D134" s="7" t="inlineStr">
        <is>
          <t>GBP</t>
        </is>
      </c>
      <c r="E134" s="9" t="inlineStr">
        <is>
          <t>カード決済</t>
        </is>
      </c>
      <c r="F134" s="7" t="inlineStr">
        <is>
          <t>COMPLETED</t>
        </is>
      </c>
      <c r="G134" s="7" t="inlineStr">
        <is>
          <t>Entertainment</t>
        </is>
      </c>
      <c r="H134" s="7" t="n">
        <v>334.09</v>
      </c>
      <c r="I134" s="10" t="inlineStr">
        <is>
          <t>FutsuRireki.csv（普通預金Visaデビット）</t>
        </is>
      </c>
      <c r="J134" s="11" t="inlineStr">
        <is>
          <t>共通</t>
        </is>
      </c>
      <c r="K134" s="12">
        <f>TEXT(A134,"YYYY-MM")</f>
        <v/>
      </c>
    </row>
    <row r="135">
      <c r="A135" s="7" t="inlineStr">
        <is>
          <t>2026-08-21</t>
        </is>
      </c>
      <c r="B135" s="7" t="inlineStr">
        <is>
          <t>TodayTix.com</t>
        </is>
      </c>
      <c r="C135" s="54" t="n">
        <v>-124</v>
      </c>
      <c r="D135" s="7" t="inlineStr">
        <is>
          <t>GBP</t>
        </is>
      </c>
      <c r="E135" s="9" t="inlineStr">
        <is>
          <t>カード決済</t>
        </is>
      </c>
      <c r="F135" s="7" t="inlineStr">
        <is>
          <t>COMPLETED</t>
        </is>
      </c>
      <c r="G135" s="7" t="inlineStr">
        <is>
          <t>Entertainment</t>
        </is>
      </c>
      <c r="H135" s="7" t="n">
        <v>210.09</v>
      </c>
      <c r="I135" s="10" t="inlineStr">
        <is>
          <t>FutsuRireki.csv（普通預金Visaデビット）</t>
        </is>
      </c>
      <c r="J135" s="11" t="inlineStr">
        <is>
          <t>共通</t>
        </is>
      </c>
      <c r="K135" s="12">
        <f>TEXT(A135,"YYYY-MM")</f>
        <v/>
      </c>
    </row>
    <row r="136">
      <c r="A136" s="7" t="inlineStr">
        <is>
          <t>2026-08-20</t>
        </is>
      </c>
      <c r="B136" s="7" t="inlineStr">
        <is>
          <t>THAMESLINK WEBTIS</t>
        </is>
      </c>
      <c r="C136" s="54" t="n">
        <v>-50.2</v>
      </c>
      <c r="D136" s="7" t="inlineStr">
        <is>
          <t>GBP</t>
        </is>
      </c>
      <c r="E136" s="9" t="inlineStr">
        <is>
          <t>カード決済</t>
        </is>
      </c>
      <c r="F136" s="7" t="inlineStr">
        <is>
          <t>COMPLETED</t>
        </is>
      </c>
      <c r="G136" s="7" t="inlineStr">
        <is>
          <t>Transport</t>
        </is>
      </c>
      <c r="H136" s="7" t="n">
        <v>404.09</v>
      </c>
      <c r="I136" s="10" t="inlineStr">
        <is>
          <t>FutsuRireki.csv（普通預金Visaデビット）</t>
        </is>
      </c>
      <c r="J136" s="11" t="inlineStr">
        <is>
          <t>共通</t>
        </is>
      </c>
      <c r="K136" s="12">
        <f>TEXT(A136,"YYYY-MM")</f>
        <v/>
      </c>
    </row>
    <row r="137">
      <c r="A137" s="7" t="inlineStr">
        <is>
          <t>2026-08-19</t>
        </is>
      </c>
      <c r="B137" s="7" t="inlineStr">
        <is>
          <t>YGF Chinatown</t>
        </is>
      </c>
      <c r="C137" s="54" t="n">
        <v>-18.01</v>
      </c>
      <c r="D137" s="7" t="inlineStr">
        <is>
          <t>GBP</t>
        </is>
      </c>
      <c r="E137" s="9" t="inlineStr">
        <is>
          <t>カード決済</t>
        </is>
      </c>
      <c r="F137" s="7" t="inlineStr">
        <is>
          <t>COMPLETED</t>
        </is>
      </c>
      <c r="G137" s="7" t="inlineStr">
        <is>
          <t>Eating out</t>
        </is>
      </c>
      <c r="H137" s="7" t="n">
        <v>454.29</v>
      </c>
      <c r="I137" s="10" t="inlineStr">
        <is>
          <t>FutsuRireki.csv（普通預金Visaデビット）</t>
        </is>
      </c>
      <c r="J137" s="11" t="inlineStr">
        <is>
          <t>共通</t>
        </is>
      </c>
      <c r="K137" s="12">
        <f>TEXT(A137,"YYYY-MM")</f>
        <v/>
      </c>
    </row>
    <row r="138">
      <c r="A138" s="7" t="inlineStr">
        <is>
          <t>2026-08-18</t>
        </is>
      </c>
      <c r="B138" s="7" t="inlineStr">
        <is>
          <t>Kiko Okigami</t>
        </is>
      </c>
      <c r="C138" s="54" t="n">
        <v>-6</v>
      </c>
      <c r="D138" s="7" t="inlineStr">
        <is>
          <t>GBP</t>
        </is>
      </c>
      <c r="E138" s="9" t="inlineStr">
        <is>
          <t>送金/入出金</t>
        </is>
      </c>
      <c r="F138" s="7" t="inlineStr">
        <is>
          <t>COMPLETED</t>
        </is>
      </c>
      <c r="G138" s="7" t="inlineStr">
        <is>
          <t>General</t>
        </is>
      </c>
      <c r="H138" s="7" t="n"/>
      <c r="I138" s="10" t="inlineStr">
        <is>
          <t>transaction-history.csv（Wiseカード）</t>
        </is>
      </c>
      <c r="J138" s="11" t="inlineStr">
        <is>
          <t>共通</t>
        </is>
      </c>
      <c r="K138" s="12">
        <f>TEXT(A138,"YYYY-MM")</f>
        <v/>
      </c>
    </row>
    <row r="139">
      <c r="A139" s="7" t="inlineStr">
        <is>
          <t>2026-08-18</t>
        </is>
      </c>
      <c r="B139" s="7" t="inlineStr">
        <is>
          <t>Kiko Okigami</t>
        </is>
      </c>
      <c r="C139" s="54" t="n">
        <v>9</v>
      </c>
      <c r="D139" s="7" t="inlineStr">
        <is>
          <t>GBP</t>
        </is>
      </c>
      <c r="E139" s="9" t="inlineStr">
        <is>
          <t>送金/入出金</t>
        </is>
      </c>
      <c r="F139" s="7" t="inlineStr">
        <is>
          <t>COMPLETED</t>
        </is>
      </c>
      <c r="G139" s="7" t="inlineStr">
        <is>
          <t>Money added</t>
        </is>
      </c>
      <c r="H139" s="7" t="n"/>
      <c r="I139" s="10" t="inlineStr">
        <is>
          <t>transaction-history.csv（Wiseカード）</t>
        </is>
      </c>
      <c r="J139" s="11" t="inlineStr">
        <is>
          <t>共通</t>
        </is>
      </c>
      <c r="K139" s="12">
        <f>TEXT(A139,"YYYY-MM")</f>
        <v/>
      </c>
    </row>
    <row r="140">
      <c r="A140" s="7" t="inlineStr">
        <is>
          <t>2026-08-18</t>
        </is>
      </c>
      <c r="B140" s="7" t="inlineStr">
        <is>
          <t>Ygf Chinatown</t>
        </is>
      </c>
      <c r="C140" s="54" t="n">
        <v>-9</v>
      </c>
      <c r="D140" s="7" t="inlineStr">
        <is>
          <t>GBP</t>
        </is>
      </c>
      <c r="E140" s="9" t="inlineStr">
        <is>
          <t>カード決済</t>
        </is>
      </c>
      <c r="F140" s="7" t="inlineStr">
        <is>
          <t>COMPLETED</t>
        </is>
      </c>
      <c r="G140" s="7" t="inlineStr">
        <is>
          <t>Eating out</t>
        </is>
      </c>
      <c r="H140" s="7" t="n"/>
      <c r="I140" s="10" t="inlineStr">
        <is>
          <t>transaction-history.csv（Wiseカード）</t>
        </is>
      </c>
      <c r="J140" s="11" t="inlineStr">
        <is>
          <t>共通</t>
        </is>
      </c>
      <c r="K140" s="12">
        <f>TEXT(A140,"YYYY-MM")</f>
        <v/>
      </c>
    </row>
    <row r="141">
      <c r="A141" s="7" t="inlineStr">
        <is>
          <t>2026-08-18</t>
        </is>
      </c>
      <c r="B141" s="7" t="inlineStr">
        <is>
          <t>Ygf Chinatown</t>
        </is>
      </c>
      <c r="C141" s="54" t="n">
        <v>-16.09</v>
      </c>
      <c r="D141" s="7" t="inlineStr">
        <is>
          <t>GBP</t>
        </is>
      </c>
      <c r="E141" s="9" t="inlineStr">
        <is>
          <t>カード決済</t>
        </is>
      </c>
      <c r="F141" s="7" t="inlineStr">
        <is>
          <t>COMPLETED</t>
        </is>
      </c>
      <c r="G141" s="7" t="inlineStr">
        <is>
          <t>Eating out</t>
        </is>
      </c>
      <c r="H141" s="7" t="n"/>
      <c r="I141" s="10" t="inlineStr">
        <is>
          <t>transaction-history.csv（Wiseカード）</t>
        </is>
      </c>
      <c r="J141" s="11" t="inlineStr">
        <is>
          <t>共通</t>
        </is>
      </c>
      <c r="K141" s="12">
        <f>TEXT(A141,"YYYY-MM")</f>
        <v/>
      </c>
    </row>
    <row r="142">
      <c r="A142" s="7" t="inlineStr">
        <is>
          <t>2026-08-17</t>
        </is>
      </c>
      <c r="B142" s="7" t="inlineStr">
        <is>
          <t>Tesco</t>
        </is>
      </c>
      <c r="C142" s="54" t="n">
        <v>-43.95</v>
      </c>
      <c r="D142" s="7" t="inlineStr">
        <is>
          <t>GBP</t>
        </is>
      </c>
      <c r="E142" s="9" t="inlineStr">
        <is>
          <t>カード決済</t>
        </is>
      </c>
      <c r="F142" s="7" t="inlineStr">
        <is>
          <t>COMPLETED</t>
        </is>
      </c>
      <c r="G142" s="7" t="inlineStr">
        <is>
          <t>Groceries</t>
        </is>
      </c>
      <c r="H142" s="7" t="n"/>
      <c r="I142" s="10" t="inlineStr">
        <is>
          <t>transaction-history.csv（Wiseカード）</t>
        </is>
      </c>
      <c r="J142" s="11" t="inlineStr">
        <is>
          <t>共通</t>
        </is>
      </c>
      <c r="K142" s="12">
        <f>TEXT(A142,"YYYY-MM")</f>
        <v/>
      </c>
    </row>
    <row r="143">
      <c r="A143" s="7" t="inlineStr">
        <is>
          <t>2026-08-17</t>
        </is>
      </c>
      <c r="B143" s="7" t="inlineStr">
        <is>
          <t>White City Athletic Es</t>
        </is>
      </c>
      <c r="C143" s="54" t="n">
        <v>-29.99</v>
      </c>
      <c r="D143" s="7" t="inlineStr">
        <is>
          <t>GBP</t>
        </is>
      </c>
      <c r="E143" s="9" t="inlineStr">
        <is>
          <t>カード決済</t>
        </is>
      </c>
      <c r="F143" s="7" t="inlineStr">
        <is>
          <t>COMPLETED</t>
        </is>
      </c>
      <c r="G143" s="7" t="inlineStr">
        <is>
          <t>Shopping</t>
        </is>
      </c>
      <c r="H143" s="7" t="n"/>
      <c r="I143" s="10" t="inlineStr">
        <is>
          <t>transaction-history.csv（Wiseカード）</t>
        </is>
      </c>
      <c r="J143" s="11" t="inlineStr">
        <is>
          <t>共通</t>
        </is>
      </c>
      <c r="K143" s="12">
        <f>TEXT(A143,"YYYY-MM")</f>
        <v/>
      </c>
    </row>
    <row r="144">
      <c r="A144" s="7" t="inlineStr">
        <is>
          <t>2026-08-17</t>
        </is>
      </c>
      <c r="B144" s="7" t="inlineStr">
        <is>
          <t>Wingstop</t>
        </is>
      </c>
      <c r="C144" s="54" t="n">
        <v>-30.1</v>
      </c>
      <c r="D144" s="7" t="inlineStr">
        <is>
          <t>GBP</t>
        </is>
      </c>
      <c r="E144" s="9" t="inlineStr">
        <is>
          <t>カード決済</t>
        </is>
      </c>
      <c r="F144" s="7" t="inlineStr">
        <is>
          <t>COMPLETED</t>
        </is>
      </c>
      <c r="G144" s="7" t="inlineStr">
        <is>
          <t>Eating out</t>
        </is>
      </c>
      <c r="H144" s="7" t="n"/>
      <c r="I144" s="10" t="inlineStr">
        <is>
          <t>transaction-history.csv（Wiseカード）</t>
        </is>
      </c>
      <c r="J144" s="11" t="inlineStr">
        <is>
          <t>共通</t>
        </is>
      </c>
      <c r="K144" s="12">
        <f>TEXT(A144,"YYYY-MM")</f>
        <v/>
      </c>
    </row>
    <row r="145">
      <c r="A145" s="7" t="inlineStr">
        <is>
          <t>2026-08-17</t>
        </is>
      </c>
      <c r="B145" s="7" t="inlineStr">
        <is>
          <t>MONCLER UK LTD</t>
        </is>
      </c>
      <c r="C145" s="54" t="n">
        <v>-753.5</v>
      </c>
      <c r="D145" s="7" t="inlineStr">
        <is>
          <t>GBP</t>
        </is>
      </c>
      <c r="E145" s="9" t="inlineStr">
        <is>
          <t>カード決済</t>
        </is>
      </c>
      <c r="F145" s="7" t="inlineStr">
        <is>
          <t>COMPLETED</t>
        </is>
      </c>
      <c r="G145" s="7" t="inlineStr">
        <is>
          <t>Shopping</t>
        </is>
      </c>
      <c r="H145" s="7" t="n">
        <v>625.71</v>
      </c>
      <c r="I145" s="10" t="inlineStr">
        <is>
          <t>FutsuRireki.csv（普通預金Visaデビット）</t>
        </is>
      </c>
      <c r="J145" s="11" t="inlineStr">
        <is>
          <t>共通</t>
        </is>
      </c>
      <c r="K145" s="12">
        <f>TEXT(A145,"YYYY-MM")</f>
        <v/>
      </c>
    </row>
    <row r="146">
      <c r="A146" s="7" t="inlineStr">
        <is>
          <t>2026-08-17</t>
        </is>
      </c>
      <c r="B146" s="7" t="inlineStr">
        <is>
          <t>0950 Bicester Mens Wome</t>
        </is>
      </c>
      <c r="C146" s="54" t="n">
        <v>-115</v>
      </c>
      <c r="D146" s="7" t="inlineStr">
        <is>
          <t>GBP</t>
        </is>
      </c>
      <c r="E146" s="9" t="inlineStr">
        <is>
          <t>カード決済</t>
        </is>
      </c>
      <c r="F146" s="7" t="inlineStr">
        <is>
          <t>COMPLETED</t>
        </is>
      </c>
      <c r="G146" s="7" t="inlineStr">
        <is>
          <t>Shopping</t>
        </is>
      </c>
      <c r="H146" s="7" t="n">
        <v>510.71</v>
      </c>
      <c r="I146" s="10" t="inlineStr">
        <is>
          <t>FutsuRireki.csv（普通預金Visaデビット）</t>
        </is>
      </c>
      <c r="J146" s="11" t="inlineStr">
        <is>
          <t>共通</t>
        </is>
      </c>
      <c r="K146" s="12">
        <f>TEXT(A146,"YYYY-MM")</f>
        <v/>
      </c>
    </row>
    <row r="147">
      <c r="A147" s="7" t="inlineStr">
        <is>
          <t>2026-08-17</t>
        </is>
      </c>
      <c r="B147" s="7" t="inlineStr">
        <is>
          <t>Tommy Hilfiger</t>
        </is>
      </c>
      <c r="C147" s="54" t="n">
        <v>-38.5</v>
      </c>
      <c r="D147" s="7" t="inlineStr">
        <is>
          <t>GBP</t>
        </is>
      </c>
      <c r="E147" s="9" t="inlineStr">
        <is>
          <t>カード決済</t>
        </is>
      </c>
      <c r="F147" s="7" t="inlineStr">
        <is>
          <t>COMPLETED</t>
        </is>
      </c>
      <c r="G147" s="7" t="inlineStr">
        <is>
          <t>Shopping</t>
        </is>
      </c>
      <c r="H147" s="7" t="n">
        <v>472.21</v>
      </c>
      <c r="I147" s="10" t="inlineStr">
        <is>
          <t>FutsuRireki.csv（普通預金Visaデビット）</t>
        </is>
      </c>
      <c r="J147" s="11" t="inlineStr">
        <is>
          <t>共通</t>
        </is>
      </c>
      <c r="K147" s="12">
        <f>TEXT(A147,"YYYY-MM")</f>
        <v/>
      </c>
    </row>
    <row r="148">
      <c r="A148" s="7" t="inlineStr">
        <is>
          <t>2026-08-16</t>
        </is>
      </c>
      <c r="B148" s="7" t="inlineStr">
        <is>
          <t>Upper Crust</t>
        </is>
      </c>
      <c r="C148" s="54" t="n">
        <v>-7.08</v>
      </c>
      <c r="D148" s="7" t="inlineStr">
        <is>
          <t>GBP</t>
        </is>
      </c>
      <c r="E148" s="9" t="inlineStr">
        <is>
          <t>カード決済</t>
        </is>
      </c>
      <c r="F148" s="7" t="inlineStr">
        <is>
          <t>COMPLETED</t>
        </is>
      </c>
      <c r="G148" s="7" t="inlineStr">
        <is>
          <t>Eating out</t>
        </is>
      </c>
      <c r="H148" s="7" t="n"/>
      <c r="I148" s="10" t="inlineStr">
        <is>
          <t>transaction-history.csv（Wiseカード）</t>
        </is>
      </c>
      <c r="J148" s="11" t="inlineStr">
        <is>
          <t>共通</t>
        </is>
      </c>
      <c r="K148" s="12">
        <f>TEXT(A148,"YYYY-MM")</f>
        <v/>
      </c>
    </row>
    <row r="149">
      <c r="A149" s="7" t="inlineStr">
        <is>
          <t>2026-08-16</t>
        </is>
      </c>
      <c r="B149" s="7" t="inlineStr">
        <is>
          <t>WHSmith</t>
        </is>
      </c>
      <c r="C149" s="54" t="n">
        <v>-3.98</v>
      </c>
      <c r="D149" s="7" t="inlineStr">
        <is>
          <t>GBP</t>
        </is>
      </c>
      <c r="E149" s="9" t="inlineStr">
        <is>
          <t>カード決済</t>
        </is>
      </c>
      <c r="F149" s="7" t="inlineStr">
        <is>
          <t>COMPLETED</t>
        </is>
      </c>
      <c r="G149" s="7" t="inlineStr">
        <is>
          <t>Shopping</t>
        </is>
      </c>
      <c r="H149" s="7" t="n"/>
      <c r="I149" s="10" t="inlineStr">
        <is>
          <t>transaction-history.csv（Wiseカード）</t>
        </is>
      </c>
      <c r="J149" s="11" t="inlineStr">
        <is>
          <t>共通</t>
        </is>
      </c>
      <c r="K149" s="12">
        <f>TEXT(A149,"YYYY-MM")</f>
        <v/>
      </c>
    </row>
    <row r="150">
      <c r="A150" s="7" t="inlineStr">
        <is>
          <t>2026-08-16</t>
        </is>
      </c>
      <c r="B150" s="7" t="inlineStr">
        <is>
          <t>PAYPAL *CHILTERN PP</t>
        </is>
      </c>
      <c r="C150" s="54" t="n">
        <v>-71.8</v>
      </c>
      <c r="D150" s="7" t="inlineStr">
        <is>
          <t>GBP</t>
        </is>
      </c>
      <c r="E150" s="9" t="inlineStr">
        <is>
          <t>カード決済</t>
        </is>
      </c>
      <c r="F150" s="7" t="inlineStr">
        <is>
          <t>COMPLETED</t>
        </is>
      </c>
      <c r="G150" s="7" t="inlineStr">
        <is>
          <t>Transport</t>
        </is>
      </c>
      <c r="H150" s="7" t="n">
        <v>1474.27</v>
      </c>
      <c r="I150" s="10" t="inlineStr">
        <is>
          <t>FutsuRireki.csv（普通預金Visaデビット）</t>
        </is>
      </c>
      <c r="J150" s="11" t="inlineStr">
        <is>
          <t>共通</t>
        </is>
      </c>
      <c r="K150" s="12">
        <f>TEXT(A150,"YYYY-MM")</f>
        <v/>
      </c>
    </row>
    <row r="151">
      <c r="A151" s="7" t="inlineStr">
        <is>
          <t>2026-08-16</t>
        </is>
      </c>
      <c r="B151" s="7" t="inlineStr">
        <is>
          <t>Lacoste UK</t>
        </is>
      </c>
      <c r="C151" s="54" t="n">
        <v>-69.8</v>
      </c>
      <c r="D151" s="7" t="inlineStr">
        <is>
          <t>GBP</t>
        </is>
      </c>
      <c r="E151" s="9" t="inlineStr">
        <is>
          <t>カード決済</t>
        </is>
      </c>
      <c r="F151" s="7" t="inlineStr">
        <is>
          <t>COMPLETED</t>
        </is>
      </c>
      <c r="G151" s="7" t="inlineStr">
        <is>
          <t>Shopping</t>
        </is>
      </c>
      <c r="H151" s="7" t="n">
        <v>1404.47</v>
      </c>
      <c r="I151" s="10" t="inlineStr">
        <is>
          <t>FutsuRireki.csv（普通預金Visaデビット）</t>
        </is>
      </c>
      <c r="J151" s="11" t="inlineStr">
        <is>
          <t>共通</t>
        </is>
      </c>
      <c r="K151" s="12">
        <f>TEXT(A151,"YYYY-MM")</f>
        <v/>
      </c>
    </row>
    <row r="152">
      <c r="A152" s="7" t="inlineStr">
        <is>
          <t>2026-08-16</t>
        </is>
      </c>
      <c r="B152" s="7" t="inlineStr">
        <is>
          <t>CLR*SHAN SHUI</t>
        </is>
      </c>
      <c r="C152" s="54" t="n">
        <v>-25.26</v>
      </c>
      <c r="D152" s="7" t="inlineStr">
        <is>
          <t>GBP</t>
        </is>
      </c>
      <c r="E152" s="9" t="inlineStr">
        <is>
          <t>カード決済</t>
        </is>
      </c>
      <c r="F152" s="7" t="inlineStr">
        <is>
          <t>COMPLETED</t>
        </is>
      </c>
      <c r="G152" s="7" t="inlineStr">
        <is>
          <t>Eating out</t>
        </is>
      </c>
      <c r="H152" s="7" t="n">
        <v>1379.21</v>
      </c>
      <c r="I152" s="10" t="inlineStr">
        <is>
          <t>FutsuRireki.csv（普通預金Visaデビット）</t>
        </is>
      </c>
      <c r="J152" s="11" t="inlineStr">
        <is>
          <t>共通</t>
        </is>
      </c>
      <c r="K152" s="12">
        <f>TEXT(A152,"YYYY-MM")</f>
        <v/>
      </c>
    </row>
    <row r="153">
      <c r="A153" s="7" t="inlineStr">
        <is>
          <t>2026-08-14</t>
        </is>
      </c>
      <c r="B153" s="7" t="inlineStr">
        <is>
          <t>HAMILTON HALL</t>
        </is>
      </c>
      <c r="C153" s="54" t="n">
        <v>-6.98</v>
      </c>
      <c r="D153" s="7" t="inlineStr">
        <is>
          <t>GBP</t>
        </is>
      </c>
      <c r="E153" s="9" t="inlineStr">
        <is>
          <t>カード決済</t>
        </is>
      </c>
      <c r="F153" s="7" t="inlineStr">
        <is>
          <t>COMPLETED</t>
        </is>
      </c>
      <c r="G153" s="7" t="inlineStr">
        <is>
          <t>Eating out</t>
        </is>
      </c>
      <c r="H153" s="7" t="n">
        <v>1570.53</v>
      </c>
      <c r="I153" s="10" t="inlineStr">
        <is>
          <t>FutsuRireki.csv（普通預金Visaデビット）</t>
        </is>
      </c>
      <c r="J153" s="11" t="inlineStr">
        <is>
          <t>共通</t>
        </is>
      </c>
      <c r="K153" s="12">
        <f>TEXT(A153,"YYYY-MM")</f>
        <v/>
      </c>
    </row>
    <row r="154">
      <c r="A154" s="7" t="inlineStr">
        <is>
          <t>2026-08-14</t>
        </is>
      </c>
      <c r="B154" s="7" t="inlineStr">
        <is>
          <t>MARUGAME UDON</t>
        </is>
      </c>
      <c r="C154" s="54" t="n">
        <v>-20.65</v>
      </c>
      <c r="D154" s="7" t="inlineStr">
        <is>
          <t>GBP</t>
        </is>
      </c>
      <c r="E154" s="9" t="inlineStr">
        <is>
          <t>カード決済</t>
        </is>
      </c>
      <c r="F154" s="7" t="inlineStr">
        <is>
          <t>COMPLETED</t>
        </is>
      </c>
      <c r="G154" s="7" t="inlineStr">
        <is>
          <t>Eating out</t>
        </is>
      </c>
      <c r="H154" s="7" t="n">
        <v>1549.88</v>
      </c>
      <c r="I154" s="10" t="inlineStr">
        <is>
          <t>FutsuRireki.csv（普通預金Visaデビット）</t>
        </is>
      </c>
      <c r="J154" s="11" t="inlineStr">
        <is>
          <t>共通</t>
        </is>
      </c>
      <c r="K154" s="12">
        <f>TEXT(A154,"YYYY-MM")</f>
        <v/>
      </c>
    </row>
    <row r="155">
      <c r="A155" s="7" t="inlineStr">
        <is>
          <t>2026-08-14</t>
        </is>
      </c>
      <c r="B155" s="7" t="inlineStr">
        <is>
          <t>MCDONALDS 6</t>
        </is>
      </c>
      <c r="C155" s="54" t="n">
        <v>-3.81</v>
      </c>
      <c r="D155" s="7" t="inlineStr">
        <is>
          <t>GBP</t>
        </is>
      </c>
      <c r="E155" s="9" t="inlineStr">
        <is>
          <t>カード決済</t>
        </is>
      </c>
      <c r="F155" s="7" t="inlineStr">
        <is>
          <t>COMPLETED</t>
        </is>
      </c>
      <c r="G155" s="7" t="inlineStr">
        <is>
          <t>Eating out</t>
        </is>
      </c>
      <c r="H155" s="7" t="n">
        <v>1546.07</v>
      </c>
      <c r="I155" s="10" t="inlineStr">
        <is>
          <t>FutsuRireki.csv（普通預金Visaデビット）</t>
        </is>
      </c>
      <c r="J155" s="11" t="inlineStr">
        <is>
          <t>共通</t>
        </is>
      </c>
      <c r="K155" s="12">
        <f>TEXT(A155,"YYYY-MM")</f>
        <v/>
      </c>
    </row>
    <row r="156">
      <c r="A156" s="7" t="inlineStr">
        <is>
          <t>2026-08-13</t>
        </is>
      </c>
      <c r="B156" s="7" t="inlineStr">
        <is>
          <t>TESCO STORES 2765</t>
        </is>
      </c>
      <c r="C156" s="54" t="n">
        <v>-39.28</v>
      </c>
      <c r="D156" s="7" t="inlineStr">
        <is>
          <t>GBP</t>
        </is>
      </c>
      <c r="E156" s="9" t="inlineStr">
        <is>
          <t>カード決済</t>
        </is>
      </c>
      <c r="F156" s="7" t="inlineStr">
        <is>
          <t>COMPLETED</t>
        </is>
      </c>
      <c r="G156" s="7" t="inlineStr">
        <is>
          <t>Groceries</t>
        </is>
      </c>
      <c r="H156" s="7" t="n">
        <v>1577.51</v>
      </c>
      <c r="I156" s="10" t="inlineStr">
        <is>
          <t>FutsuRireki.csv（普通預金Visaデビット）</t>
        </is>
      </c>
      <c r="J156" s="11" t="inlineStr">
        <is>
          <t>共通</t>
        </is>
      </c>
      <c r="K156" s="12">
        <f>TEXT(A156,"YYYY-MM")</f>
        <v/>
      </c>
    </row>
    <row r="157">
      <c r="A157" s="7" t="inlineStr">
        <is>
          <t>2026-08-12</t>
        </is>
      </c>
      <c r="B157" s="7" t="inlineStr">
        <is>
          <t>The Hawks Nest</t>
        </is>
      </c>
      <c r="C157" s="54" t="n">
        <v>-6.8</v>
      </c>
      <c r="D157" s="7" t="inlineStr">
        <is>
          <t>GBP</t>
        </is>
      </c>
      <c r="E157" s="9" t="inlineStr">
        <is>
          <t>カード決済</t>
        </is>
      </c>
      <c r="F157" s="7" t="inlineStr">
        <is>
          <t>COMPLETED</t>
        </is>
      </c>
      <c r="G157" s="7" t="inlineStr">
        <is>
          <t>Eating out</t>
        </is>
      </c>
      <c r="H157" s="7" t="n">
        <v>1635.74</v>
      </c>
      <c r="I157" s="10" t="inlineStr">
        <is>
          <t>FutsuRireki.csv（普通預金Visaデビット）</t>
        </is>
      </c>
      <c r="J157" s="11" t="inlineStr">
        <is>
          <t>共通</t>
        </is>
      </c>
      <c r="K157" s="12">
        <f>TEXT(A157,"YYYY-MM")</f>
        <v/>
      </c>
    </row>
    <row r="158">
      <c r="A158" s="7" t="inlineStr">
        <is>
          <t>2026-08-12</t>
        </is>
      </c>
      <c r="B158" s="7" t="inlineStr">
        <is>
          <t>Hawk s Nest</t>
        </is>
      </c>
      <c r="C158" s="54" t="n">
        <v>-13.75</v>
      </c>
      <c r="D158" s="7" t="inlineStr">
        <is>
          <t>GBP</t>
        </is>
      </c>
      <c r="E158" s="9" t="inlineStr">
        <is>
          <t>カード決済</t>
        </is>
      </c>
      <c r="F158" s="7" t="inlineStr">
        <is>
          <t>COMPLETED</t>
        </is>
      </c>
      <c r="G158" s="7" t="inlineStr">
        <is>
          <t>Eating out</t>
        </is>
      </c>
      <c r="H158" s="7" t="n">
        <v>1621.99</v>
      </c>
      <c r="I158" s="10" t="inlineStr">
        <is>
          <t>FutsuRireki.csv（普通預金Visaデビット）</t>
        </is>
      </c>
      <c r="J158" s="11" t="inlineStr">
        <is>
          <t>共通</t>
        </is>
      </c>
      <c r="K158" s="12">
        <f>TEXT(A158,"YYYY-MM")</f>
        <v/>
      </c>
    </row>
    <row r="159">
      <c r="A159" s="7" t="inlineStr">
        <is>
          <t>2026-08-12</t>
        </is>
      </c>
      <c r="B159" s="7" t="inlineStr">
        <is>
          <t>TESCO STORES 2765</t>
        </is>
      </c>
      <c r="C159" s="54" t="n">
        <v>-5.2</v>
      </c>
      <c r="D159" s="7" t="inlineStr">
        <is>
          <t>GBP</t>
        </is>
      </c>
      <c r="E159" s="9" t="inlineStr">
        <is>
          <t>カード決済</t>
        </is>
      </c>
      <c r="F159" s="7" t="inlineStr">
        <is>
          <t>COMPLETED</t>
        </is>
      </c>
      <c r="G159" s="7" t="inlineStr">
        <is>
          <t>Groceries</t>
        </is>
      </c>
      <c r="H159" s="7" t="n">
        <v>1616.79</v>
      </c>
      <c r="I159" s="10" t="inlineStr">
        <is>
          <t>FutsuRireki.csv（普通預金Visaデビット）</t>
        </is>
      </c>
      <c r="J159" s="11" t="inlineStr">
        <is>
          <t>共通</t>
        </is>
      </c>
      <c r="K159" s="12">
        <f>TEXT(A159,"YYYY-MM")</f>
        <v/>
      </c>
    </row>
    <row r="160">
      <c r="A160" s="7" t="inlineStr">
        <is>
          <t>2026-08-10</t>
        </is>
      </c>
      <c r="B160" s="7" t="inlineStr">
        <is>
          <t>Unico Gelato &amp; Caffè</t>
        </is>
      </c>
      <c r="C160" s="54" t="n">
        <v>-7.2</v>
      </c>
      <c r="D160" s="7" t="inlineStr">
        <is>
          <t>GBP</t>
        </is>
      </c>
      <c r="E160" s="9" t="inlineStr">
        <is>
          <t>カード決済</t>
        </is>
      </c>
      <c r="F160" s="7" t="inlineStr">
        <is>
          <t>COMPLETED</t>
        </is>
      </c>
      <c r="G160" s="7" t="inlineStr">
        <is>
          <t>Eating out</t>
        </is>
      </c>
      <c r="H160" s="7" t="n"/>
      <c r="I160" s="10" t="inlineStr">
        <is>
          <t>transaction-history.csv（Wiseカード）</t>
        </is>
      </c>
      <c r="J160" s="11" t="inlineStr">
        <is>
          <t>共通</t>
        </is>
      </c>
      <c r="K160" s="12">
        <f>TEXT(A160,"YYYY-MM")</f>
        <v/>
      </c>
    </row>
    <row r="161">
      <c r="A161" s="7" t="inlineStr">
        <is>
          <t>2026-08-10</t>
        </is>
      </c>
      <c r="B161" s="7" t="inlineStr">
        <is>
          <t>Edera</t>
        </is>
      </c>
      <c r="C161" s="54" t="n">
        <v>-51.14</v>
      </c>
      <c r="D161" s="7" t="inlineStr">
        <is>
          <t>GBP</t>
        </is>
      </c>
      <c r="E161" s="9" t="inlineStr">
        <is>
          <t>カード決済</t>
        </is>
      </c>
      <c r="F161" s="7" t="inlineStr">
        <is>
          <t>COMPLETED</t>
        </is>
      </c>
      <c r="G161" s="7" t="inlineStr">
        <is>
          <t>Eating out</t>
        </is>
      </c>
      <c r="H161" s="7" t="n"/>
      <c r="I161" s="10" t="inlineStr">
        <is>
          <t>transaction-history.csv（Wiseカード）</t>
        </is>
      </c>
      <c r="J161" s="11" t="inlineStr">
        <is>
          <t>共通</t>
        </is>
      </c>
      <c r="K161" s="12">
        <f>TEXT(A161,"YYYY-MM")</f>
        <v/>
      </c>
    </row>
    <row r="162">
      <c r="A162" s="7" t="inlineStr">
        <is>
          <t>2026-08-10</t>
        </is>
      </c>
      <c r="B162" s="7" t="inlineStr">
        <is>
          <t>THE SHERLOCK HOLMES MUSEU</t>
        </is>
      </c>
      <c r="C162" s="54" t="n">
        <v>-53</v>
      </c>
      <c r="D162" s="7" t="inlineStr">
        <is>
          <t>GBP</t>
        </is>
      </c>
      <c r="E162" s="9" t="inlineStr">
        <is>
          <t>カード決済</t>
        </is>
      </c>
      <c r="F162" s="7" t="inlineStr">
        <is>
          <t>COMPLETED</t>
        </is>
      </c>
      <c r="G162" s="7" t="inlineStr">
        <is>
          <t>Entertainment</t>
        </is>
      </c>
      <c r="H162" s="7" t="n">
        <v>1642.54</v>
      </c>
      <c r="I162" s="10" t="inlineStr">
        <is>
          <t>FutsuRireki.csv（普通預金Visaデビット）</t>
        </is>
      </c>
      <c r="J162" s="11" t="inlineStr">
        <is>
          <t>共通</t>
        </is>
      </c>
      <c r="K162" s="12">
        <f>TEXT(A162,"YYYY-MM")</f>
        <v/>
      </c>
    </row>
    <row r="163">
      <c r="A163" s="7" t="inlineStr">
        <is>
          <t>2026-08-09</t>
        </is>
      </c>
      <c r="B163" s="7" t="inlineStr">
        <is>
          <t>Kiko Okigami</t>
        </is>
      </c>
      <c r="C163" s="54" t="n">
        <v>-43.2</v>
      </c>
      <c r="D163" s="7" t="inlineStr">
        <is>
          <t>GBP</t>
        </is>
      </c>
      <c r="E163" s="9" t="inlineStr">
        <is>
          <t>送金/入出金</t>
        </is>
      </c>
      <c r="F163" s="7" t="inlineStr">
        <is>
          <t>COMPLETED</t>
        </is>
      </c>
      <c r="G163" s="7" t="inlineStr">
        <is>
          <t>General</t>
        </is>
      </c>
      <c r="H163" s="7" t="n"/>
      <c r="I163" s="10" t="inlineStr">
        <is>
          <t>transaction-history.csv（Wiseカード）</t>
        </is>
      </c>
      <c r="J163" s="11" t="inlineStr">
        <is>
          <t>共通</t>
        </is>
      </c>
      <c r="K163" s="12">
        <f>TEXT(A163,"YYYY-MM")</f>
        <v/>
      </c>
    </row>
    <row r="164">
      <c r="A164" s="7" t="inlineStr">
        <is>
          <t>2026-08-09</t>
        </is>
      </c>
      <c r="B164" s="7" t="inlineStr">
        <is>
          <t>King’s Arms, Oxford</t>
        </is>
      </c>
      <c r="C164" s="54" t="n">
        <v>-33.8</v>
      </c>
      <c r="D164" s="7" t="inlineStr">
        <is>
          <t>GBP</t>
        </is>
      </c>
      <c r="E164" s="9" t="inlineStr">
        <is>
          <t>カード決済</t>
        </is>
      </c>
      <c r="F164" s="7" t="inlineStr">
        <is>
          <t>COMPLETED</t>
        </is>
      </c>
      <c r="G164" s="7" t="inlineStr">
        <is>
          <t>Eating out</t>
        </is>
      </c>
      <c r="H164" s="7" t="n">
        <v>1773.69</v>
      </c>
      <c r="I164" s="10" t="inlineStr">
        <is>
          <t>FutsuRireki.csv（普通預金Visaデビット）</t>
        </is>
      </c>
      <c r="J164" s="11" t="inlineStr">
        <is>
          <t>共通</t>
        </is>
      </c>
      <c r="K164" s="12">
        <f>TEXT(A164,"YYYY-MM")</f>
        <v/>
      </c>
    </row>
    <row r="165">
      <c r="A165" s="7" t="inlineStr">
        <is>
          <t>2026-08-09</t>
        </is>
      </c>
      <c r="B165" s="7" t="inlineStr">
        <is>
          <t>King’s Arms, Oxford</t>
        </is>
      </c>
      <c r="C165" s="54" t="n">
        <v>-24.6</v>
      </c>
      <c r="D165" s="7" t="inlineStr">
        <is>
          <t>GBP</t>
        </is>
      </c>
      <c r="E165" s="9" t="inlineStr">
        <is>
          <t>カード決済</t>
        </is>
      </c>
      <c r="F165" s="7" t="inlineStr">
        <is>
          <t>COMPLETED</t>
        </is>
      </c>
      <c r="G165" s="7" t="inlineStr">
        <is>
          <t>Eating out</t>
        </is>
      </c>
      <c r="H165" s="7" t="n">
        <v>1749.09</v>
      </c>
      <c r="I165" s="10" t="inlineStr">
        <is>
          <t>FutsuRireki.csv（普通預金Visaデビット）</t>
        </is>
      </c>
      <c r="J165" s="11" t="inlineStr">
        <is>
          <t>共通</t>
        </is>
      </c>
      <c r="K165" s="12">
        <f>TEXT(A165,"YYYY-MM")</f>
        <v/>
      </c>
    </row>
    <row r="166">
      <c r="A166" s="7" t="inlineStr">
        <is>
          <t>2026-08-09</t>
        </is>
      </c>
      <c r="B166" s="7" t="inlineStr">
        <is>
          <t>LUL TICKET MACHINE</t>
        </is>
      </c>
      <c r="C166" s="54" t="n">
        <v>-15</v>
      </c>
      <c r="D166" s="7" t="inlineStr">
        <is>
          <t>GBP</t>
        </is>
      </c>
      <c r="E166" s="9" t="inlineStr">
        <is>
          <t>カード決済</t>
        </is>
      </c>
      <c r="F166" s="7" t="inlineStr">
        <is>
          <t>COMPLETED</t>
        </is>
      </c>
      <c r="G166" s="7" t="inlineStr">
        <is>
          <t>Transport</t>
        </is>
      </c>
      <c r="H166" s="7" t="n">
        <v>1734.09</v>
      </c>
      <c r="I166" s="10" t="inlineStr">
        <is>
          <t>FutsuRireki.csv（普通預金Visaデビット）</t>
        </is>
      </c>
      <c r="J166" s="11" t="inlineStr">
        <is>
          <t>共通</t>
        </is>
      </c>
      <c r="K166" s="12">
        <f>TEXT(A166,"YYYY-MM")</f>
        <v/>
      </c>
    </row>
    <row r="167">
      <c r="A167" s="7" t="inlineStr">
        <is>
          <t>2026-08-09</t>
        </is>
      </c>
      <c r="B167" s="7" t="inlineStr">
        <is>
          <t>LUL TICKET MACHINE</t>
        </is>
      </c>
      <c r="C167" s="54" t="n">
        <v>-15</v>
      </c>
      <c r="D167" s="7" t="inlineStr">
        <is>
          <t>GBP</t>
        </is>
      </c>
      <c r="E167" s="9" t="inlineStr">
        <is>
          <t>カード決済</t>
        </is>
      </c>
      <c r="F167" s="7" t="inlineStr">
        <is>
          <t>COMPLETED</t>
        </is>
      </c>
      <c r="G167" s="7" t="inlineStr">
        <is>
          <t>Transport</t>
        </is>
      </c>
      <c r="H167" s="7" t="n">
        <v>1719.09</v>
      </c>
      <c r="I167" s="10" t="inlineStr">
        <is>
          <t>FutsuRireki.csv（普通預金Visaデビット）</t>
        </is>
      </c>
      <c r="J167" s="11" t="inlineStr">
        <is>
          <t>共通</t>
        </is>
      </c>
      <c r="K167" s="12">
        <f>TEXT(A167,"YYYY-MM")</f>
        <v/>
      </c>
    </row>
    <row r="168">
      <c r="A168" s="7" t="inlineStr">
        <is>
          <t>2026-08-09</t>
        </is>
      </c>
      <c r="B168" s="7" t="inlineStr">
        <is>
          <t>TESCO STORES 2765</t>
        </is>
      </c>
      <c r="C168" s="54" t="n">
        <v>-23.55</v>
      </c>
      <c r="D168" s="7" t="inlineStr">
        <is>
          <t>GBP</t>
        </is>
      </c>
      <c r="E168" s="9" t="inlineStr">
        <is>
          <t>カード決済</t>
        </is>
      </c>
      <c r="F168" s="7" t="inlineStr">
        <is>
          <t>COMPLETED</t>
        </is>
      </c>
      <c r="G168" s="7" t="inlineStr">
        <is>
          <t>Groceries</t>
        </is>
      </c>
      <c r="H168" s="7" t="n">
        <v>1695.54</v>
      </c>
      <c r="I168" s="10" t="inlineStr">
        <is>
          <t>FutsuRireki.csv（普通預金Visaデビット）</t>
        </is>
      </c>
      <c r="J168" s="11" t="inlineStr">
        <is>
          <t>共通</t>
        </is>
      </c>
      <c r="K168" s="12">
        <f>TEXT(A168,"YYYY-MM")</f>
        <v/>
      </c>
    </row>
    <row r="169">
      <c r="A169" s="7" t="inlineStr">
        <is>
          <t>2026-08-08</t>
        </is>
      </c>
      <c r="B169" s="7" t="inlineStr">
        <is>
          <t>YUJI HIJIKATA</t>
        </is>
      </c>
      <c r="C169" s="54" t="n">
        <v>20</v>
      </c>
      <c r="D169" s="7" t="inlineStr">
        <is>
          <t>GBP</t>
        </is>
      </c>
      <c r="E169" s="9" t="inlineStr">
        <is>
          <t>送金/入出金</t>
        </is>
      </c>
      <c r="F169" s="7" t="inlineStr">
        <is>
          <t>COMPLETED</t>
        </is>
      </c>
      <c r="G169" s="7" t="inlineStr">
        <is>
          <t>Money added</t>
        </is>
      </c>
      <c r="H169" s="7" t="n"/>
      <c r="I169" s="10" t="inlineStr">
        <is>
          <t>transaction-history.csv（Wiseカード）</t>
        </is>
      </c>
      <c r="J169" s="11" t="inlineStr">
        <is>
          <t>共通</t>
        </is>
      </c>
      <c r="K169" s="12">
        <f>TEXT(A169,"YYYY-MM")</f>
        <v/>
      </c>
    </row>
    <row r="170">
      <c r="A170" s="7" t="inlineStr">
        <is>
          <t>2026-08-08</t>
        </is>
      </c>
      <c r="B170" s="7" t="inlineStr">
        <is>
          <t>SSP</t>
        </is>
      </c>
      <c r="C170" s="54" t="n">
        <v>-4.19</v>
      </c>
      <c r="D170" s="7" t="inlineStr">
        <is>
          <t>GBP</t>
        </is>
      </c>
      <c r="E170" s="9" t="inlineStr">
        <is>
          <t>カード決済</t>
        </is>
      </c>
      <c r="F170" s="7" t="inlineStr">
        <is>
          <t>COMPLETED</t>
        </is>
      </c>
      <c r="G170" s="7" t="inlineStr">
        <is>
          <t>Eating out</t>
        </is>
      </c>
      <c r="H170" s="7" t="n"/>
      <c r="I170" s="10" t="inlineStr">
        <is>
          <t>transaction-history.csv（Wiseカード）</t>
        </is>
      </c>
      <c r="J170" s="11" t="inlineStr">
        <is>
          <t>共通</t>
        </is>
      </c>
      <c r="K170" s="12">
        <f>TEXT(A170,"YYYY-MM")</f>
        <v/>
      </c>
    </row>
    <row r="171">
      <c r="A171" s="7" t="inlineStr">
        <is>
          <t>2026-08-08</t>
        </is>
      </c>
      <c r="B171" s="7" t="inlineStr">
        <is>
          <t>VICTORIA W2</t>
        </is>
      </c>
      <c r="C171" s="54" t="n">
        <v>-110.98</v>
      </c>
      <c r="D171" s="7" t="inlineStr">
        <is>
          <t>GBP</t>
        </is>
      </c>
      <c r="E171" s="9" t="inlineStr">
        <is>
          <t>カード決済</t>
        </is>
      </c>
      <c r="F171" s="7" t="inlineStr">
        <is>
          <t>COMPLETED</t>
        </is>
      </c>
      <c r="G171" s="7" t="inlineStr">
        <is>
          <t>General</t>
        </is>
      </c>
      <c r="H171" s="7" t="n">
        <v>2032.97</v>
      </c>
      <c r="I171" s="10" t="inlineStr">
        <is>
          <t>FutsuRireki.csv（普通預金Visaデビット）</t>
        </is>
      </c>
      <c r="J171" s="11" t="inlineStr">
        <is>
          <t>共通</t>
        </is>
      </c>
      <c r="K171" s="12">
        <f>TEXT(A171,"YYYY-MM")</f>
        <v/>
      </c>
    </row>
    <row r="172">
      <c r="A172" s="7" t="inlineStr">
        <is>
          <t>2026-08-08</t>
        </is>
      </c>
      <c r="B172" s="7" t="inlineStr">
        <is>
          <t>Warner Bros. Studios</t>
        </is>
      </c>
      <c r="C172" s="54" t="n">
        <v>-115.08</v>
      </c>
      <c r="D172" s="7" t="inlineStr">
        <is>
          <t>GBP</t>
        </is>
      </c>
      <c r="E172" s="9" t="inlineStr">
        <is>
          <t>カード決済</t>
        </is>
      </c>
      <c r="F172" s="7" t="inlineStr">
        <is>
          <t>COMPLETED</t>
        </is>
      </c>
      <c r="G172" s="7" t="inlineStr">
        <is>
          <t>Entertainment</t>
        </is>
      </c>
      <c r="H172" s="7" t="n">
        <v>1917.89</v>
      </c>
      <c r="I172" s="10" t="inlineStr">
        <is>
          <t>FutsuRireki.csv（普通預金Visaデビット）</t>
        </is>
      </c>
      <c r="J172" s="11" t="inlineStr">
        <is>
          <t>共通</t>
        </is>
      </c>
      <c r="K172" s="12">
        <f>TEXT(A172,"YYYY-MM")</f>
        <v/>
      </c>
    </row>
    <row r="173">
      <c r="A173" s="7" t="inlineStr">
        <is>
          <t>2026-08-08</t>
        </is>
      </c>
      <c r="B173" s="7" t="inlineStr">
        <is>
          <t>SRT − WWW.GWR.COM</t>
        </is>
      </c>
      <c r="C173" s="54" t="n">
        <v>-75.40000000000001</v>
      </c>
      <c r="D173" s="7" t="inlineStr">
        <is>
          <t>GBP</t>
        </is>
      </c>
      <c r="E173" s="9" t="inlineStr">
        <is>
          <t>カード決済</t>
        </is>
      </c>
      <c r="F173" s="7" t="inlineStr">
        <is>
          <t>COMPLETED</t>
        </is>
      </c>
      <c r="G173" s="7" t="inlineStr">
        <is>
          <t>Transport</t>
        </is>
      </c>
      <c r="H173" s="7" t="n">
        <v>1842.49</v>
      </c>
      <c r="I173" s="10" t="inlineStr">
        <is>
          <t>FutsuRireki.csv（普通預金Visaデビット）</t>
        </is>
      </c>
      <c r="J173" s="11" t="inlineStr">
        <is>
          <t>共通</t>
        </is>
      </c>
      <c r="K173" s="12">
        <f>TEXT(A173,"YYYY-MM")</f>
        <v/>
      </c>
    </row>
    <row r="174">
      <c r="A174" s="7" t="inlineStr">
        <is>
          <t>2026-08-08</t>
        </is>
      </c>
      <c r="B174" s="7" t="inlineStr">
        <is>
          <t>Queens Lane Coffee House</t>
        </is>
      </c>
      <c r="C174" s="54" t="n">
        <v>-23.4</v>
      </c>
      <c r="D174" s="7" t="inlineStr">
        <is>
          <t>GBP</t>
        </is>
      </c>
      <c r="E174" s="9" t="inlineStr">
        <is>
          <t>カード決済</t>
        </is>
      </c>
      <c r="F174" s="7" t="inlineStr">
        <is>
          <t>COMPLETED</t>
        </is>
      </c>
      <c r="G174" s="7" t="inlineStr">
        <is>
          <t>Eating out</t>
        </is>
      </c>
      <c r="H174" s="7" t="n">
        <v>1819.09</v>
      </c>
      <c r="I174" s="10" t="inlineStr">
        <is>
          <t>FutsuRireki.csv（普通預金Visaデビット）</t>
        </is>
      </c>
      <c r="J174" s="11" t="inlineStr">
        <is>
          <t>共通</t>
        </is>
      </c>
      <c r="K174" s="12">
        <f>TEXT(A174,"YYYY-MM")</f>
        <v/>
      </c>
    </row>
    <row r="175">
      <c r="A175" s="7" t="inlineStr">
        <is>
          <t>2026-08-08</t>
        </is>
      </c>
      <c r="B175" s="7" t="inlineStr">
        <is>
          <t>MAGDALEN COLLEGE OXFORD</t>
        </is>
      </c>
      <c r="C175" s="54" t="n">
        <v>-10</v>
      </c>
      <c r="D175" s="7" t="inlineStr">
        <is>
          <t>GBP</t>
        </is>
      </c>
      <c r="E175" s="9" t="inlineStr">
        <is>
          <t>カード決済</t>
        </is>
      </c>
      <c r="F175" s="7" t="inlineStr">
        <is>
          <t>COMPLETED</t>
        </is>
      </c>
      <c r="G175" s="7" t="inlineStr">
        <is>
          <t>Entertainment</t>
        </is>
      </c>
      <c r="H175" s="7" t="n">
        <v>1809.09</v>
      </c>
      <c r="I175" s="10" t="inlineStr">
        <is>
          <t>FutsuRireki.csv（普通預金Visaデビット）</t>
        </is>
      </c>
      <c r="J175" s="11" t="inlineStr">
        <is>
          <t>共通</t>
        </is>
      </c>
      <c r="K175" s="12">
        <f>TEXT(A175,"YYYY-MM")</f>
        <v/>
      </c>
    </row>
    <row r="176">
      <c r="A176" s="7" t="inlineStr">
        <is>
          <t>2026-08-08</t>
        </is>
      </c>
      <c r="B176" s="7" t="inlineStr">
        <is>
          <t>SAINSBURYS S/MKTS</t>
        </is>
      </c>
      <c r="C176" s="54" t="n">
        <v>-1.6</v>
      </c>
      <c r="D176" s="7" t="inlineStr">
        <is>
          <t>GBP</t>
        </is>
      </c>
      <c r="E176" s="9" t="inlineStr">
        <is>
          <t>カード決済</t>
        </is>
      </c>
      <c r="F176" s="7" t="inlineStr">
        <is>
          <t>COMPLETED</t>
        </is>
      </c>
      <c r="G176" s="7" t="inlineStr">
        <is>
          <t>Groceries</t>
        </is>
      </c>
      <c r="H176" s="7" t="n">
        <v>1807.49</v>
      </c>
      <c r="I176" s="10" t="inlineStr">
        <is>
          <t>FutsuRireki.csv（普通預金Visaデビット）</t>
        </is>
      </c>
      <c r="J176" s="11" t="inlineStr">
        <is>
          <t>共通</t>
        </is>
      </c>
      <c r="K176" s="12">
        <f>TEXT(A176,"YYYY-MM")</f>
        <v/>
      </c>
    </row>
    <row r="177">
      <c r="A177" s="7" t="inlineStr">
        <is>
          <t>2026-08-07</t>
        </is>
      </c>
      <c r="B177" s="7" t="inlineStr">
        <is>
          <t>Ken Terashima</t>
        </is>
      </c>
      <c r="C177" s="54" t="n">
        <v>6366</v>
      </c>
      <c r="D177" s="7" t="inlineStr">
        <is>
          <t>JPY</t>
        </is>
      </c>
      <c r="E177" s="9" t="inlineStr">
        <is>
          <t>送金/入出金</t>
        </is>
      </c>
      <c r="F177" s="7" t="inlineStr">
        <is>
          <t>COMPLETED</t>
        </is>
      </c>
      <c r="G177" s="7" t="inlineStr">
        <is>
          <t>Money added</t>
        </is>
      </c>
      <c r="H177" s="7" t="n"/>
      <c r="I177" s="10" t="inlineStr">
        <is>
          <t>transaction-history.csv（Wiseカード）</t>
        </is>
      </c>
      <c r="J177" s="11" t="inlineStr">
        <is>
          <t>共通</t>
        </is>
      </c>
      <c r="K177" s="12">
        <f>TEXT(A177,"YYYY-MM")</f>
        <v/>
      </c>
    </row>
    <row r="178">
      <c r="A178" s="7" t="inlineStr">
        <is>
          <t>2026-08-06</t>
        </is>
      </c>
      <c r="B178" s="7" t="inlineStr">
        <is>
          <t>ROYAL BANK UK /</t>
        </is>
      </c>
      <c r="C178" s="54" t="n">
        <v>-40.71</v>
      </c>
      <c r="D178" s="7" t="inlineStr">
        <is>
          <t>GBP</t>
        </is>
      </c>
      <c r="E178" s="9" t="inlineStr">
        <is>
          <t>カード決済</t>
        </is>
      </c>
      <c r="F178" s="7" t="inlineStr">
        <is>
          <t>COMPLETED</t>
        </is>
      </c>
      <c r="G178" s="7" t="inlineStr">
        <is>
          <t>General</t>
        </is>
      </c>
      <c r="H178" s="7" t="n">
        <v>2168.02</v>
      </c>
      <c r="I178" s="10" t="inlineStr">
        <is>
          <t>FutsuRireki.csv（普通預金Visaデビット）</t>
        </is>
      </c>
      <c r="J178" s="11" t="inlineStr">
        <is>
          <t>共通</t>
        </is>
      </c>
      <c r="K178" s="12">
        <f>TEXT(A178,"YYYY-MM")</f>
        <v/>
      </c>
    </row>
    <row r="179">
      <c r="A179" s="7" t="inlineStr">
        <is>
          <t>2026-08-06</t>
        </is>
      </c>
      <c r="B179" s="7" t="inlineStr">
        <is>
          <t>TESCO STORES 2765</t>
        </is>
      </c>
      <c r="C179" s="54" t="n">
        <v>-24.07</v>
      </c>
      <c r="D179" s="7" t="inlineStr">
        <is>
          <t>GBP</t>
        </is>
      </c>
      <c r="E179" s="9" t="inlineStr">
        <is>
          <t>カード決済</t>
        </is>
      </c>
      <c r="F179" s="7" t="inlineStr">
        <is>
          <t>COMPLETED</t>
        </is>
      </c>
      <c r="G179" s="7" t="inlineStr">
        <is>
          <t>Groceries</t>
        </is>
      </c>
      <c r="H179" s="7" t="n">
        <v>2143.95</v>
      </c>
      <c r="I179" s="10" t="inlineStr">
        <is>
          <t>FutsuRireki.csv（普通預金Visaデビット）</t>
        </is>
      </c>
      <c r="J179" s="11" t="inlineStr">
        <is>
          <t>共通</t>
        </is>
      </c>
      <c r="K179" s="12">
        <f>TEXT(A179,"YYYY-MM")</f>
        <v/>
      </c>
    </row>
    <row r="180">
      <c r="A180" s="7" t="inlineStr">
        <is>
          <t>2026-08-04</t>
        </is>
      </c>
      <c r="B180" s="7" t="inlineStr">
        <is>
          <t>London School</t>
        </is>
      </c>
      <c r="C180" s="54" t="n">
        <v>-38</v>
      </c>
      <c r="D180" s="7" t="inlineStr">
        <is>
          <t>GBP</t>
        </is>
      </c>
      <c r="E180" s="9" t="inlineStr">
        <is>
          <t>カード決済</t>
        </is>
      </c>
      <c r="F180" s="7" t="inlineStr">
        <is>
          <t>COMPLETED</t>
        </is>
      </c>
      <c r="G180" s="7" t="inlineStr">
        <is>
          <t>Family</t>
        </is>
      </c>
      <c r="H180" s="7" t="n"/>
      <c r="I180" s="10" t="inlineStr">
        <is>
          <t>transaction-history.csv（Wiseカード）</t>
        </is>
      </c>
      <c r="J180" s="11" t="inlineStr">
        <is>
          <t>共通</t>
        </is>
      </c>
      <c r="K180" s="12">
        <f>TEXT(A180,"YYYY-MM")</f>
        <v/>
      </c>
    </row>
    <row r="181">
      <c r="A181" s="7" t="inlineStr">
        <is>
          <t>2026-08-04</t>
        </is>
      </c>
      <c r="B181" s="7" t="inlineStr">
        <is>
          <t>SQ *MASTER BAO</t>
        </is>
      </c>
      <c r="C181" s="54" t="n">
        <v>-27.1</v>
      </c>
      <c r="D181" s="7" t="inlineStr">
        <is>
          <t>GBP</t>
        </is>
      </c>
      <c r="E181" s="9" t="inlineStr">
        <is>
          <t>カード決済</t>
        </is>
      </c>
      <c r="F181" s="7" t="inlineStr">
        <is>
          <t>COMPLETED</t>
        </is>
      </c>
      <c r="G181" s="7" t="inlineStr">
        <is>
          <t>Eating out</t>
        </is>
      </c>
      <c r="H181" s="7" t="n">
        <v>2210.73</v>
      </c>
      <c r="I181" s="10" t="inlineStr">
        <is>
          <t>FutsuRireki.csv（普通預金Visaデビット）</t>
        </is>
      </c>
      <c r="J181" s="11" t="inlineStr">
        <is>
          <t>共通</t>
        </is>
      </c>
      <c r="K181" s="12">
        <f>TEXT(A181,"YYYY-MM")</f>
        <v/>
      </c>
    </row>
    <row r="182">
      <c r="A182" s="7" t="inlineStr">
        <is>
          <t>2026-08-04</t>
        </is>
      </c>
      <c r="B182" s="7" t="inlineStr">
        <is>
          <t>TESCO STORES 2765</t>
        </is>
      </c>
      <c r="C182" s="54" t="n">
        <v>-2</v>
      </c>
      <c r="D182" s="7" t="inlineStr">
        <is>
          <t>GBP</t>
        </is>
      </c>
      <c r="E182" s="9" t="inlineStr">
        <is>
          <t>カード決済</t>
        </is>
      </c>
      <c r="F182" s="7" t="inlineStr">
        <is>
          <t>COMPLETED</t>
        </is>
      </c>
      <c r="G182" s="7" t="inlineStr">
        <is>
          <t>Groceries</t>
        </is>
      </c>
      <c r="H182" s="7" t="n">
        <v>2208.73</v>
      </c>
      <c r="I182" s="10" t="inlineStr">
        <is>
          <t>FutsuRireki.csv（普通預金Visaデビット）</t>
        </is>
      </c>
      <c r="J182" s="11" t="inlineStr">
        <is>
          <t>共通</t>
        </is>
      </c>
      <c r="K182" s="12">
        <f>TEXT(A182,"YYYY-MM")</f>
        <v/>
      </c>
    </row>
    <row r="183">
      <c r="A183" s="7" t="inlineStr">
        <is>
          <t>2026-08-03</t>
        </is>
      </c>
      <c r="B183" s="7" t="inlineStr">
        <is>
          <t>MAC Cosmetics</t>
        </is>
      </c>
      <c r="C183" s="54" t="n">
        <v>-36</v>
      </c>
      <c r="D183" s="7" t="inlineStr">
        <is>
          <t>GBP</t>
        </is>
      </c>
      <c r="E183" s="9" t="inlineStr">
        <is>
          <t>カード決済</t>
        </is>
      </c>
      <c r="F183" s="7" t="inlineStr">
        <is>
          <t>COMPLETED</t>
        </is>
      </c>
      <c r="G183" s="7" t="inlineStr">
        <is>
          <t>Personal care</t>
        </is>
      </c>
      <c r="H183" s="7" t="n"/>
      <c r="I183" s="10" t="inlineStr">
        <is>
          <t>transaction-history.csv（Wiseカード）</t>
        </is>
      </c>
      <c r="J183" s="11" t="inlineStr">
        <is>
          <t>共通</t>
        </is>
      </c>
      <c r="K183" s="12">
        <f>TEXT(A183,"YYYY-MM")</f>
        <v/>
      </c>
    </row>
    <row r="184">
      <c r="A184" s="7" t="inlineStr">
        <is>
          <t>2026-08-03</t>
        </is>
      </c>
      <c r="B184" s="7" t="inlineStr">
        <is>
          <t>UNIQLO</t>
        </is>
      </c>
      <c r="C184" s="54" t="n">
        <v>-49.9</v>
      </c>
      <c r="D184" s="7" t="inlineStr">
        <is>
          <t>GBP</t>
        </is>
      </c>
      <c r="E184" s="9" t="inlineStr">
        <is>
          <t>カード決済</t>
        </is>
      </c>
      <c r="F184" s="7" t="inlineStr">
        <is>
          <t>COMPLETED</t>
        </is>
      </c>
      <c r="G184" s="7" t="inlineStr">
        <is>
          <t>Shopping</t>
        </is>
      </c>
      <c r="H184" s="7" t="n"/>
      <c r="I184" s="10" t="inlineStr">
        <is>
          <t>transaction-history.csv（Wiseカード）</t>
        </is>
      </c>
      <c r="J184" s="11" t="inlineStr">
        <is>
          <t>共通</t>
        </is>
      </c>
      <c r="K184" s="12">
        <f>TEXT(A184,"YYYY-MM")</f>
        <v/>
      </c>
    </row>
    <row r="185">
      <c r="A185" s="7" t="inlineStr">
        <is>
          <t>2026-08-03</t>
        </is>
      </c>
      <c r="B185" s="7" t="inlineStr">
        <is>
          <t>Tesco</t>
        </is>
      </c>
      <c r="C185" s="54" t="n">
        <v>-5.2</v>
      </c>
      <c r="D185" s="7" t="inlineStr">
        <is>
          <t>GBP</t>
        </is>
      </c>
      <c r="E185" s="9" t="inlineStr">
        <is>
          <t>カード決済</t>
        </is>
      </c>
      <c r="F185" s="7" t="inlineStr">
        <is>
          <t>COMPLETED</t>
        </is>
      </c>
      <c r="G185" s="7" t="inlineStr">
        <is>
          <t>Groceries</t>
        </is>
      </c>
      <c r="H185" s="7" t="n"/>
      <c r="I185" s="10" t="inlineStr">
        <is>
          <t>transaction-history.csv（Wiseカード）</t>
        </is>
      </c>
      <c r="J185" s="11" t="inlineStr">
        <is>
          <t>共通</t>
        </is>
      </c>
      <c r="K185" s="12">
        <f>TEXT(A185,"YYYY-MM")</f>
        <v/>
      </c>
    </row>
    <row r="186">
      <c r="A186" s="7" t="inlineStr">
        <is>
          <t>2026-08-03</t>
        </is>
      </c>
      <c r="B186" s="7" t="inlineStr">
        <is>
          <t>MUJI TCR</t>
        </is>
      </c>
      <c r="C186" s="54" t="n">
        <v>-37.7</v>
      </c>
      <c r="D186" s="7" t="inlineStr">
        <is>
          <t>GBP</t>
        </is>
      </c>
      <c r="E186" s="9" t="inlineStr">
        <is>
          <t>カード決済</t>
        </is>
      </c>
      <c r="F186" s="7" t="inlineStr">
        <is>
          <t>COMPLETED</t>
        </is>
      </c>
      <c r="G186" s="7" t="inlineStr">
        <is>
          <t>Shopping</t>
        </is>
      </c>
      <c r="H186" s="7" t="n">
        <v>2237.83</v>
      </c>
      <c r="I186" s="10" t="inlineStr">
        <is>
          <t>FutsuRireki.csv（普通預金Visaデビット）</t>
        </is>
      </c>
      <c r="J186" s="11" t="inlineStr">
        <is>
          <t>共通</t>
        </is>
      </c>
      <c r="K186" s="12">
        <f>TEXT(A186,"YYYY-MM")</f>
        <v/>
      </c>
    </row>
    <row r="187">
      <c r="A187" s="7" t="inlineStr">
        <is>
          <t>2026-08-02</t>
        </is>
      </c>
      <c r="B187" s="7" t="inlineStr">
        <is>
          <t>TfL - Transport for London</t>
        </is>
      </c>
      <c r="C187" s="54" t="n">
        <v>-10</v>
      </c>
      <c r="D187" s="7" t="inlineStr">
        <is>
          <t>GBP</t>
        </is>
      </c>
      <c r="E187" s="9" t="inlineStr">
        <is>
          <t>カード決済</t>
        </is>
      </c>
      <c r="F187" s="7" t="inlineStr">
        <is>
          <t>COMPLETED</t>
        </is>
      </c>
      <c r="G187" s="7" t="inlineStr">
        <is>
          <t>Transport</t>
        </is>
      </c>
      <c r="H187" s="7" t="n"/>
      <c r="I187" s="10" t="inlineStr">
        <is>
          <t>transaction-history.csv（Wiseカード）</t>
        </is>
      </c>
      <c r="J187" s="11" t="inlineStr">
        <is>
          <t>共通</t>
        </is>
      </c>
      <c r="K187" s="12">
        <f>TEXT(A187,"YYYY-MM")</f>
        <v/>
      </c>
    </row>
    <row r="188">
      <c r="A188" s="7" t="inlineStr">
        <is>
          <t>2026-08-02</t>
        </is>
      </c>
      <c r="B188" s="7" t="inlineStr">
        <is>
          <t>TfL - Transport for London</t>
        </is>
      </c>
      <c r="C188" s="54" t="n">
        <v>-10</v>
      </c>
      <c r="D188" s="7" t="inlineStr">
        <is>
          <t>GBP</t>
        </is>
      </c>
      <c r="E188" s="9" t="inlineStr">
        <is>
          <t>カード決済</t>
        </is>
      </c>
      <c r="F188" s="7" t="inlineStr">
        <is>
          <t>COMPLETED</t>
        </is>
      </c>
      <c r="G188" s="7" t="inlineStr">
        <is>
          <t>Transport</t>
        </is>
      </c>
      <c r="H188" s="7" t="n"/>
      <c r="I188" s="10" t="inlineStr">
        <is>
          <t>transaction-history.csv（Wiseカード）</t>
        </is>
      </c>
      <c r="J188" s="11" t="inlineStr">
        <is>
          <t>共通</t>
        </is>
      </c>
      <c r="K188" s="12">
        <f>TEXT(A188,"YYYY-MM")</f>
        <v/>
      </c>
    </row>
    <row r="189">
      <c r="A189" s="7" t="inlineStr">
        <is>
          <t>2026-08-02</t>
        </is>
      </c>
      <c r="B189" s="7" t="inlineStr">
        <is>
          <t>Harry Potter Store</t>
        </is>
      </c>
      <c r="C189" s="54" t="n">
        <v>-30</v>
      </c>
      <c r="D189" s="7" t="inlineStr">
        <is>
          <t>GBP</t>
        </is>
      </c>
      <c r="E189" s="9" t="inlineStr">
        <is>
          <t>カード決済</t>
        </is>
      </c>
      <c r="F189" s="7" t="inlineStr">
        <is>
          <t>COMPLETED</t>
        </is>
      </c>
      <c r="G189" s="7" t="inlineStr">
        <is>
          <t>Shopping</t>
        </is>
      </c>
      <c r="H189" s="7" t="n">
        <v>2388.79</v>
      </c>
      <c r="I189" s="10" t="inlineStr">
        <is>
          <t>FutsuRireki.csv（普通預金Visaデビット）</t>
        </is>
      </c>
      <c r="J189" s="11" t="inlineStr">
        <is>
          <t>共通</t>
        </is>
      </c>
      <c r="K189" s="12">
        <f>TEXT(A189,"YYYY-MM")</f>
        <v/>
      </c>
    </row>
    <row r="190">
      <c r="A190" s="7" t="inlineStr">
        <is>
          <t>2026-08-02</t>
        </is>
      </c>
      <c r="B190" s="7" t="inlineStr">
        <is>
          <t>FEVER* LONDON EYE 6464</t>
        </is>
      </c>
      <c r="C190" s="54" t="n">
        <v>-68.26000000000001</v>
      </c>
      <c r="D190" s="7" t="inlineStr">
        <is>
          <t>GBP</t>
        </is>
      </c>
      <c r="E190" s="9" t="inlineStr">
        <is>
          <t>カード決済</t>
        </is>
      </c>
      <c r="F190" s="7" t="inlineStr">
        <is>
          <t>COMPLETED</t>
        </is>
      </c>
      <c r="G190" s="7" t="inlineStr">
        <is>
          <t>Entertainment</t>
        </is>
      </c>
      <c r="H190" s="7" t="n">
        <v>2320.53</v>
      </c>
      <c r="I190" s="10" t="inlineStr">
        <is>
          <t>FutsuRireki.csv（普通預金Visaデビット）</t>
        </is>
      </c>
      <c r="J190" s="11" t="inlineStr">
        <is>
          <t>共通</t>
        </is>
      </c>
      <c r="K190" s="12">
        <f>TEXT(A190,"YYYY-MM")</f>
        <v/>
      </c>
    </row>
    <row r="191">
      <c r="A191" s="7" t="inlineStr">
        <is>
          <t>2026-08-02</t>
        </is>
      </c>
      <c r="B191" s="7" t="inlineStr">
        <is>
          <t>London Eye − Slush Car</t>
        </is>
      </c>
      <c r="C191" s="54" t="n">
        <v>-2.6</v>
      </c>
      <c r="D191" s="7" t="inlineStr">
        <is>
          <t>GBP</t>
        </is>
      </c>
      <c r="E191" s="9" t="inlineStr">
        <is>
          <t>カード決済</t>
        </is>
      </c>
      <c r="F191" s="7" t="inlineStr">
        <is>
          <t>COMPLETED</t>
        </is>
      </c>
      <c r="G191" s="7" t="inlineStr">
        <is>
          <t>Eating out</t>
        </is>
      </c>
      <c r="H191" s="7" t="n">
        <v>2317.93</v>
      </c>
      <c r="I191" s="10" t="inlineStr">
        <is>
          <t>FutsuRireki.csv（普通預金Visaデビット）</t>
        </is>
      </c>
      <c r="J191" s="11" t="inlineStr">
        <is>
          <t>共通</t>
        </is>
      </c>
      <c r="K191" s="12">
        <f>TEXT(A191,"YYYY-MM")</f>
        <v/>
      </c>
    </row>
    <row r="192">
      <c r="A192" s="7" t="inlineStr">
        <is>
          <t>2026-08-02</t>
        </is>
      </c>
      <c r="B192" s="7" t="inlineStr">
        <is>
          <t>TESCO STORES 2765</t>
        </is>
      </c>
      <c r="C192" s="54" t="n">
        <v>-17.65</v>
      </c>
      <c r="D192" s="7" t="inlineStr">
        <is>
          <t>GBP</t>
        </is>
      </c>
      <c r="E192" s="9" t="inlineStr">
        <is>
          <t>カード決済</t>
        </is>
      </c>
      <c r="F192" s="7" t="inlineStr">
        <is>
          <t>COMPLETED</t>
        </is>
      </c>
      <c r="G192" s="7" t="inlineStr">
        <is>
          <t>Groceries</t>
        </is>
      </c>
      <c r="H192" s="7" t="n">
        <v>2300.28</v>
      </c>
      <c r="I192" s="10" t="inlineStr">
        <is>
          <t>FutsuRireki.csv（普通預金Visaデビット）</t>
        </is>
      </c>
      <c r="J192" s="11" t="inlineStr">
        <is>
          <t>共通</t>
        </is>
      </c>
      <c r="K192" s="12">
        <f>TEXT(A192,"YYYY-MM")</f>
        <v/>
      </c>
    </row>
    <row r="193">
      <c r="A193" s="7" t="inlineStr">
        <is>
          <t>2026-08-02</t>
        </is>
      </c>
      <c r="B193" s="7" t="inlineStr">
        <is>
          <t>SumUp *Rice Sambal</t>
        </is>
      </c>
      <c r="C193" s="54" t="n">
        <v>-24.75</v>
      </c>
      <c r="D193" s="7" t="inlineStr">
        <is>
          <t>GBP</t>
        </is>
      </c>
      <c r="E193" s="9" t="inlineStr">
        <is>
          <t>カード決済</t>
        </is>
      </c>
      <c r="F193" s="7" t="inlineStr">
        <is>
          <t>COMPLETED</t>
        </is>
      </c>
      <c r="G193" s="7" t="inlineStr">
        <is>
          <t>Eating out</t>
        </is>
      </c>
      <c r="H193" s="7" t="n">
        <v>2275.53</v>
      </c>
      <c r="I193" s="10" t="inlineStr">
        <is>
          <t>FutsuRireki.csv（普通預金Visaデビット）</t>
        </is>
      </c>
      <c r="J193" s="11" t="inlineStr">
        <is>
          <t>共通</t>
        </is>
      </c>
      <c r="K193" s="12">
        <f>TEXT(A193,"YYYY-MM")</f>
        <v/>
      </c>
    </row>
    <row r="194">
      <c r="A194" s="7" t="inlineStr">
        <is>
          <t>2026-08-01</t>
        </is>
      </c>
      <c r="B194" s="7" t="inlineStr">
        <is>
          <t>Harry Potter Store</t>
        </is>
      </c>
      <c r="C194" s="54" t="n">
        <v>-15</v>
      </c>
      <c r="D194" s="7" t="inlineStr">
        <is>
          <t>GBP</t>
        </is>
      </c>
      <c r="E194" s="9" t="inlineStr">
        <is>
          <t>カード決済</t>
        </is>
      </c>
      <c r="F194" s="7" t="inlineStr">
        <is>
          <t>COMPLETED</t>
        </is>
      </c>
      <c r="G194" s="7" t="inlineStr">
        <is>
          <t>Shopping</t>
        </is>
      </c>
      <c r="H194" s="7" t="n"/>
      <c r="I194" s="10" t="inlineStr">
        <is>
          <t>transaction-history.csv（Wiseカード）</t>
        </is>
      </c>
      <c r="J194" s="11" t="inlineStr">
        <is>
          <t>共通</t>
        </is>
      </c>
      <c r="K194" s="12">
        <f>TEXT(A194,"YYYY-MM")</f>
        <v/>
      </c>
    </row>
    <row r="195">
      <c r="A195" s="7" t="inlineStr">
        <is>
          <t>2026-08-01</t>
        </is>
      </c>
      <c r="B195" s="7" t="inlineStr">
        <is>
          <t>LUL TICKET MACHINE</t>
        </is>
      </c>
      <c r="C195" s="54" t="n">
        <v>-15</v>
      </c>
      <c r="D195" s="7" t="inlineStr">
        <is>
          <t>GBP</t>
        </is>
      </c>
      <c r="E195" s="9" t="inlineStr">
        <is>
          <t>カード決済</t>
        </is>
      </c>
      <c r="F195" s="7" t="inlineStr">
        <is>
          <t>COMPLETED</t>
        </is>
      </c>
      <c r="G195" s="7" t="inlineStr">
        <is>
          <t>Transport</t>
        </is>
      </c>
      <c r="H195" s="7" t="n">
        <v>2447.69</v>
      </c>
      <c r="I195" s="10" t="inlineStr">
        <is>
          <t>FutsuRireki.csv（普通預金Visaデビット）</t>
        </is>
      </c>
      <c r="J195" s="11" t="inlineStr">
        <is>
          <t>共通</t>
        </is>
      </c>
      <c r="K195" s="12">
        <f>TEXT(A195,"YYYY-MM")</f>
        <v/>
      </c>
    </row>
    <row r="196">
      <c r="A196" s="7" t="inlineStr">
        <is>
          <t>2026-08-01</t>
        </is>
      </c>
      <c r="B196" s="7" t="inlineStr">
        <is>
          <t>LUL TICKET MACHINE</t>
        </is>
      </c>
      <c r="C196" s="54" t="n">
        <v>-15</v>
      </c>
      <c r="D196" s="7" t="inlineStr">
        <is>
          <t>GBP</t>
        </is>
      </c>
      <c r="E196" s="9" t="inlineStr">
        <is>
          <t>カード決済</t>
        </is>
      </c>
      <c r="F196" s="7" t="inlineStr">
        <is>
          <t>COMPLETED</t>
        </is>
      </c>
      <c r="G196" s="7" t="inlineStr">
        <is>
          <t>Transport</t>
        </is>
      </c>
      <c r="H196" s="7" t="n">
        <v>2432.69</v>
      </c>
      <c r="I196" s="10" t="inlineStr">
        <is>
          <t>FutsuRireki.csv（普通預金Visaデビット）</t>
        </is>
      </c>
      <c r="J196" s="11" t="inlineStr">
        <is>
          <t>共通</t>
        </is>
      </c>
      <c r="K196" s="12">
        <f>TEXT(A196,"YYYY-MM")</f>
        <v/>
      </c>
    </row>
    <row r="197">
      <c r="A197" s="7" t="inlineStr">
        <is>
          <t>2026-08-01</t>
        </is>
      </c>
      <c r="B197" s="7" t="inlineStr">
        <is>
          <t>TESCO STORES 2765</t>
        </is>
      </c>
      <c r="C197" s="54" t="n">
        <v>-1.2</v>
      </c>
      <c r="D197" s="7" t="inlineStr">
        <is>
          <t>GBP</t>
        </is>
      </c>
      <c r="E197" s="9" t="inlineStr">
        <is>
          <t>カード決済</t>
        </is>
      </c>
      <c r="F197" s="7" t="inlineStr">
        <is>
          <t>COMPLETED</t>
        </is>
      </c>
      <c r="G197" s="7" t="inlineStr">
        <is>
          <t>Groceries</t>
        </is>
      </c>
      <c r="H197" s="7" t="n">
        <v>2431.49</v>
      </c>
      <c r="I197" s="10" t="inlineStr">
        <is>
          <t>FutsuRireki.csv（普通預金Visaデビット）</t>
        </is>
      </c>
      <c r="J197" s="11" t="inlineStr">
        <is>
          <t>共通</t>
        </is>
      </c>
      <c r="K197" s="12">
        <f>TEXT(A197,"YYYY-MM")</f>
        <v/>
      </c>
    </row>
    <row r="198">
      <c r="A198" s="7" t="inlineStr">
        <is>
          <t>2026-08-01</t>
        </is>
      </c>
      <c r="B198" s="7" t="inlineStr">
        <is>
          <t>Pizza Union</t>
        </is>
      </c>
      <c r="C198" s="54" t="n">
        <v>-12.7</v>
      </c>
      <c r="D198" s="7" t="inlineStr">
        <is>
          <t>GBP</t>
        </is>
      </c>
      <c r="E198" s="9" t="inlineStr">
        <is>
          <t>カード決済</t>
        </is>
      </c>
      <c r="F198" s="7" t="inlineStr">
        <is>
          <t>COMPLETED</t>
        </is>
      </c>
      <c r="G198" s="7" t="inlineStr">
        <is>
          <t>Eating out</t>
        </is>
      </c>
      <c r="H198" s="7" t="n">
        <v>2418.79</v>
      </c>
      <c r="I198" s="10" t="inlineStr">
        <is>
          <t>FutsuRireki.csv（普通預金Visaデビット）</t>
        </is>
      </c>
      <c r="J198" s="11" t="inlineStr">
        <is>
          <t>共通</t>
        </is>
      </c>
      <c r="K198" s="12">
        <f>TEXT(A198,"YYYY-MM")</f>
        <v/>
      </c>
    </row>
  </sheetData>
  <autoFilter ref="A1:K198"/>
  <conditionalFormatting sqref="J2:J109">
    <cfRule type="cellIs" priority="2" operator="equal" dxfId="3">
      <formula>"聖也"</formula>
    </cfRule>
    <cfRule type="cellIs" priority="3" operator="equal" dxfId="2">
      <formula>"愛弓"</formula>
    </cfRule>
    <cfRule type="cellIs" priority="4" operator="equal" dxfId="1">
      <formula>"共通"</formula>
    </cfRule>
    <cfRule type="cellIs" priority="5" operator="equal" dxfId="0">
      <formula>"除外"</formula>
    </cfRule>
  </conditionalFormatting>
  <dataValidations count="1">
    <dataValidation sqref="J2:J109" showDropDown="0" showInputMessage="0" showErrorMessage="0" allowBlank="0" type="list">
      <formula1>"聖也,愛弓,共通,除外"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"/>
  <sheetViews>
    <sheetView zoomScaleNormal="100" workbookViewId="0">
      <pane ySplit="1" topLeftCell="A2" activePane="bottomLeft" state="frozen"/>
      <selection pane="bottomLeft" activeCell="E31" sqref="E31"/>
    </sheetView>
  </sheetViews>
  <sheetFormatPr baseColWidth="8" defaultColWidth="8.6640625" defaultRowHeight="14.4"/>
  <cols>
    <col width="30" customWidth="1" min="1" max="1"/>
    <col width="16" customWidth="1" min="2" max="5"/>
  </cols>
  <sheetData>
    <row r="1" ht="16.8" customHeight="1">
      <c r="A1" s="28" t="inlineStr">
        <is>
          <t>2026年9月</t>
        </is>
      </c>
    </row>
    <row r="2"/>
    <row r="3">
      <c r="A3" s="1" t="inlineStr">
        <is>
          <t>■ 聖也</t>
        </is>
      </c>
    </row>
    <row r="4">
      <c r="A4" s="6" t="inlineStr">
        <is>
          <t>カテゴリ</t>
        </is>
      </c>
      <c r="B4" s="29" t="inlineStr">
        <is>
          <t>GBP 合計</t>
        </is>
      </c>
      <c r="C4" s="29" t="inlineStr">
        <is>
          <t>EUR 合計</t>
        </is>
      </c>
      <c r="D4" s="29" t="inlineStr">
        <is>
          <t>JPY 合計</t>
        </is>
      </c>
      <c r="E4" s="29" t="inlineStr">
        <is>
          <t>JPY換算合計</t>
        </is>
      </c>
    </row>
    <row r="5">
      <c r="A5" s="30" t="inlineStr">
        <is>
          <t>Bills</t>
        </is>
      </c>
      <c r="B5" s="31">
        <f>SUMIFS(統合決済履歴!$C$2:$C$198,統合決済履歴!$G$2:$G$198,"Bills",統合決済履歴!$D$2:$D$198,"GBP",統合決済履歴!$F$2:$F$198,"COMPLETED",統合決済履歴!$J$2:$J$198,"聖也",統合決済履歴!$K$2:$K$198,"2026-09")</f>
        <v/>
      </c>
      <c r="C5" s="31">
        <f>SUMIFS(統合決済履歴!$C$2:$C$198,統合決済履歴!$G$2:$G$198,"Bills",統合決済履歴!$D$2:$D$198,"EUR",統合決済履歴!$F$2:$F$198,"COMPLETED",統合決済履歴!$J$2:$J$198,"聖也",統合決済履歴!$K$2:$K$198,"2026-09")</f>
        <v/>
      </c>
      <c r="D5" s="31">
        <f>SUMIFS(統合決済履歴!$C$2:$C$198,統合決済履歴!$G$2:$G$198,"Bills",統合決済履歴!$D$2:$D$198,"JPY",統合決済履歴!$F$2:$F$198,"COMPLETED",統合決済履歴!$J$2:$J$198,"聖也",統合決済履歴!$K$2:$K$198,"2026-09")</f>
        <v/>
      </c>
      <c r="E5" s="32">
        <f>B5*設定!$B$3+C5*設定!$B$4+D5</f>
        <v/>
      </c>
    </row>
    <row r="6">
      <c r="A6" s="30" t="inlineStr">
        <is>
          <t>Eating out</t>
        </is>
      </c>
      <c r="B6" s="31">
        <f>SUMIFS(統合決済履歴!$C$2:$C$198,統合決済履歴!$G$2:$G$198,"Eating out",統合決済履歴!$D$2:$D$198,"GBP",統合決済履歴!$F$2:$F$198,"COMPLETED",統合決済履歴!$J$2:$J$198,"聖也",統合決済履歴!$K$2:$K$198,"2026-09")</f>
        <v/>
      </c>
      <c r="C6" s="31">
        <f>SUMIFS(統合決済履歴!$C$2:$C$198,統合決済履歴!$G$2:$G$198,"Eating out",統合決済履歴!$D$2:$D$198,"EUR",統合決済履歴!$F$2:$F$198,"COMPLETED",統合決済履歴!$J$2:$J$198,"聖也",統合決済履歴!$K$2:$K$198,"2026-09")</f>
        <v/>
      </c>
      <c r="D6" s="31">
        <f>SUMIFS(統合決済履歴!$C$2:$C$198,統合決済履歴!$G$2:$G$198,"Eating out",統合決済履歴!$D$2:$D$198,"JPY",統合決済履歴!$F$2:$F$198,"COMPLETED",統合決済履歴!$J$2:$J$198,"聖也",統合決済履歴!$K$2:$K$198,"2026-09")</f>
        <v/>
      </c>
      <c r="E6" s="32">
        <f>B6*設定!$B$3+C6*設定!$B$4+D6</f>
        <v/>
      </c>
    </row>
    <row r="7">
      <c r="A7" s="30" t="inlineStr">
        <is>
          <t>Entertainment</t>
        </is>
      </c>
      <c r="B7" s="31">
        <f>SUMIFS(統合決済履歴!$C$2:$C$198,統合決済履歴!$G$2:$G$198,"Entertainment",統合決済履歴!$D$2:$D$198,"GBP",統合決済履歴!$F$2:$F$198,"COMPLETED",統合決済履歴!$J$2:$J$198,"聖也",統合決済履歴!$K$2:$K$198,"2026-09")</f>
        <v/>
      </c>
      <c r="C7" s="31">
        <f>SUMIFS(統合決済履歴!$C$2:$C$198,統合決済履歴!$G$2:$G$198,"Entertainment",統合決済履歴!$D$2:$D$198,"EUR",統合決済履歴!$F$2:$F$198,"COMPLETED",統合決済履歴!$J$2:$J$198,"聖也",統合決済履歴!$K$2:$K$198,"2026-09")</f>
        <v/>
      </c>
      <c r="D7" s="31">
        <f>SUMIFS(統合決済履歴!$C$2:$C$198,統合決済履歴!$G$2:$G$198,"Entertainment",統合決済履歴!$D$2:$D$198,"JPY",統合決済履歴!$F$2:$F$198,"COMPLETED",統合決済履歴!$J$2:$J$198,"聖也",統合決済履歴!$K$2:$K$198,"2026-09")</f>
        <v/>
      </c>
      <c r="E7" s="32">
        <f>B7*設定!$B$3+C7*設定!$B$4+D7</f>
        <v/>
      </c>
    </row>
    <row r="8">
      <c r="A8" s="30" t="inlineStr">
        <is>
          <t>Family</t>
        </is>
      </c>
      <c r="B8" s="31">
        <f>SUMIFS(統合決済履歴!$C$2:$C$198,統合決済履歴!$G$2:$G$198,"Family",統合決済履歴!$D$2:$D$198,"GBP",統合決済履歴!$F$2:$F$198,"COMPLETED",統合決済履歴!$J$2:$J$198,"聖也",統合決済履歴!$K$2:$K$198,"2026-09")</f>
        <v/>
      </c>
      <c r="C8" s="31">
        <f>SUMIFS(統合決済履歴!$C$2:$C$198,統合決済履歴!$G$2:$G$198,"Family",統合決済履歴!$D$2:$D$198,"EUR",統合決済履歴!$F$2:$F$198,"COMPLETED",統合決済履歴!$J$2:$J$198,"聖也",統合決済履歴!$K$2:$K$198,"2026-09")</f>
        <v/>
      </c>
      <c r="D8" s="31">
        <f>SUMIFS(統合決済履歴!$C$2:$C$198,統合決済履歴!$G$2:$G$198,"Family",統合決済履歴!$D$2:$D$198,"JPY",統合決済履歴!$F$2:$F$198,"COMPLETED",統合決済履歴!$J$2:$J$198,"聖也",統合決済履歴!$K$2:$K$198,"2026-09")</f>
        <v/>
      </c>
      <c r="E8" s="32">
        <f>B8*設定!$B$3+C8*設定!$B$4+D8</f>
        <v/>
      </c>
    </row>
    <row r="9">
      <c r="A9" s="30" t="inlineStr">
        <is>
          <t>General</t>
        </is>
      </c>
      <c r="B9" s="31">
        <f>SUMIFS(統合決済履歴!$C$2:$C$198,統合決済履歴!$G$2:$G$198,"General",統合決済履歴!$D$2:$D$198,"GBP",統合決済履歴!$F$2:$F$198,"COMPLETED",統合決済履歴!$J$2:$J$198,"聖也",統合決済履歴!$K$2:$K$198,"2026-09")</f>
        <v/>
      </c>
      <c r="C9" s="31">
        <f>SUMIFS(統合決済履歴!$C$2:$C$198,統合決済履歴!$G$2:$G$198,"General",統合決済履歴!$D$2:$D$198,"EUR",統合決済履歴!$F$2:$F$198,"COMPLETED",統合決済履歴!$J$2:$J$198,"聖也",統合決済履歴!$K$2:$K$198,"2026-09")</f>
        <v/>
      </c>
      <c r="D9" s="31">
        <f>SUMIFS(統合決済履歴!$C$2:$C$198,統合決済履歴!$G$2:$G$198,"General",統合決済履歴!$D$2:$D$198,"JPY",統合決済履歴!$F$2:$F$198,"COMPLETED",統合決済履歴!$J$2:$J$198,"聖也",統合決済履歴!$K$2:$K$198,"2026-09")</f>
        <v/>
      </c>
      <c r="E9" s="32">
        <f>B9*設定!$B$3+C9*設定!$B$4+D9</f>
        <v/>
      </c>
    </row>
    <row r="10">
      <c r="A10" s="30" t="inlineStr">
        <is>
          <t>Groceries</t>
        </is>
      </c>
      <c r="B10" s="31">
        <f>SUMIFS(統合決済履歴!$C$2:$C$198,統合決済履歴!$G$2:$G$198,"Groceries",統合決済履歴!$D$2:$D$198,"GBP",統合決済履歴!$F$2:$F$198,"COMPLETED",統合決済履歴!$J$2:$J$198,"聖也",統合決済履歴!$K$2:$K$198,"2026-09")</f>
        <v/>
      </c>
      <c r="C10" s="31">
        <f>SUMIFS(統合決済履歴!$C$2:$C$198,統合決済履歴!$G$2:$G$198,"Groceries",統合決済履歴!$D$2:$D$198,"EUR",統合決済履歴!$F$2:$F$198,"COMPLETED",統合決済履歴!$J$2:$J$198,"聖也",統合決済履歴!$K$2:$K$198,"2026-09")</f>
        <v/>
      </c>
      <c r="D10" s="31">
        <f>SUMIFS(統合決済履歴!$C$2:$C$198,統合決済履歴!$G$2:$G$198,"Groceries",統合決済履歴!$D$2:$D$198,"JPY",統合決済履歴!$F$2:$F$198,"COMPLETED",統合決済履歴!$J$2:$J$198,"聖也",統合決済履歴!$K$2:$K$198,"2026-09")</f>
        <v/>
      </c>
      <c r="E10" s="32">
        <f>B10*設定!$B$3+C10*設定!$B$4+D10</f>
        <v/>
      </c>
    </row>
    <row r="11">
      <c r="A11" s="30" t="inlineStr">
        <is>
          <t>Money added</t>
        </is>
      </c>
      <c r="B11" s="31">
        <f>SUMIFS(統合決済履歴!$C$2:$C$198,統合決済履歴!$G$2:$G$198,"Money added",統合決済履歴!$D$2:$D$198,"GBP",統合決済履歴!$F$2:$F$198,"COMPLETED",統合決済履歴!$J$2:$J$198,"聖也",統合決済履歴!$K$2:$K$198,"2026-09")</f>
        <v/>
      </c>
      <c r="C11" s="31">
        <f>SUMIFS(統合決済履歴!$C$2:$C$198,統合決済履歴!$G$2:$G$198,"Money added",統合決済履歴!$D$2:$D$198,"EUR",統合決済履歴!$F$2:$F$198,"COMPLETED",統合決済履歴!$J$2:$J$198,"聖也",統合決済履歴!$K$2:$K$198,"2026-09")</f>
        <v/>
      </c>
      <c r="D11" s="31">
        <f>SUMIFS(統合決済履歴!$C$2:$C$198,統合決済履歴!$G$2:$G$198,"Money added",統合決済履歴!$D$2:$D$198,"JPY",統合決済履歴!$F$2:$F$198,"COMPLETED",統合決済履歴!$J$2:$J$198,"聖也",統合決済履歴!$K$2:$K$198,"2026-09")</f>
        <v/>
      </c>
      <c r="E11" s="32">
        <f>B11*設定!$B$3+C11*設定!$B$4+D11</f>
        <v/>
      </c>
    </row>
    <row r="12">
      <c r="A12" s="30" t="inlineStr">
        <is>
          <t>Personal care</t>
        </is>
      </c>
      <c r="B12" s="31">
        <f>SUMIFS(統合決済履歴!$C$2:$C$198,統合決済履歴!$G$2:$G$198,"Personal care",統合決済履歴!$D$2:$D$198,"GBP",統合決済履歴!$F$2:$F$198,"COMPLETED",統合決済履歴!$J$2:$J$198,"聖也",統合決済履歴!$K$2:$K$198,"2026-09")</f>
        <v/>
      </c>
      <c r="C12" s="31">
        <f>SUMIFS(統合決済履歴!$C$2:$C$198,統合決済履歴!$G$2:$G$198,"Personal care",統合決済履歴!$D$2:$D$198,"EUR",統合決済履歴!$F$2:$F$198,"COMPLETED",統合決済履歴!$J$2:$J$198,"聖也",統合決済履歴!$K$2:$K$198,"2026-09")</f>
        <v/>
      </c>
      <c r="D12" s="31">
        <f>SUMIFS(統合決済履歴!$C$2:$C$198,統合決済履歴!$G$2:$G$198,"Personal care",統合決済履歴!$D$2:$D$198,"JPY",統合決済履歴!$F$2:$F$198,"COMPLETED",統合決済履歴!$J$2:$J$198,"聖也",統合決済履歴!$K$2:$K$198,"2026-09")</f>
        <v/>
      </c>
      <c r="E12" s="32">
        <f>B12*設定!$B$3+C12*設定!$B$4+D12</f>
        <v/>
      </c>
    </row>
    <row r="13">
      <c r="A13" s="30" t="inlineStr">
        <is>
          <t>Shopping</t>
        </is>
      </c>
      <c r="B13" s="31">
        <f>SUMIFS(統合決済履歴!$C$2:$C$198,統合決済履歴!$G$2:$G$198,"Shopping",統合決済履歴!$D$2:$D$198,"GBP",統合決済履歴!$F$2:$F$198,"COMPLETED",統合決済履歴!$J$2:$J$198,"聖也",統合決済履歴!$K$2:$K$198,"2026-09")</f>
        <v/>
      </c>
      <c r="C13" s="31">
        <f>SUMIFS(統合決済履歴!$C$2:$C$198,統合決済履歴!$G$2:$G$198,"Shopping",統合決済履歴!$D$2:$D$198,"EUR",統合決済履歴!$F$2:$F$198,"COMPLETED",統合決済履歴!$J$2:$J$198,"聖也",統合決済履歴!$K$2:$K$198,"2026-09")</f>
        <v/>
      </c>
      <c r="D13" s="31">
        <f>SUMIFS(統合決済履歴!$C$2:$C$198,統合決済履歴!$G$2:$G$198,"Shopping",統合決済履歴!$D$2:$D$198,"JPY",統合決済履歴!$F$2:$F$198,"COMPLETED",統合決済履歴!$J$2:$J$198,"聖也",統合決済履歴!$K$2:$K$198,"2026-09")</f>
        <v/>
      </c>
      <c r="E13" s="32">
        <f>B13*設定!$B$3+C13*設定!$B$4+D13</f>
        <v/>
      </c>
    </row>
    <row r="14">
      <c r="A14" s="30" t="inlineStr">
        <is>
          <t>Transport</t>
        </is>
      </c>
      <c r="B14" s="31">
        <f>SUMIFS(統合決済履歴!$C$2:$C$198,統合決済履歴!$G$2:$G$198,"Transport",統合決済履歴!$D$2:$D$198,"GBP",統合決済履歴!$F$2:$F$198,"COMPLETED",統合決済履歴!$J$2:$J$198,"聖也",統合決済履歴!$K$2:$K$198,"2026-09")</f>
        <v/>
      </c>
      <c r="C14" s="31">
        <f>SUMIFS(統合決済履歴!$C$2:$C$198,統合決済履歴!$G$2:$G$198,"Transport",統合決済履歴!$D$2:$D$198,"EUR",統合決済履歴!$F$2:$F$198,"COMPLETED",統合決済履歴!$J$2:$J$198,"聖也",統合決済履歴!$K$2:$K$198,"2026-09")</f>
        <v/>
      </c>
      <c r="D14" s="31">
        <f>SUMIFS(統合決済履歴!$C$2:$C$198,統合決済履歴!$G$2:$G$198,"Transport",統合決済履歴!$D$2:$D$198,"JPY",統合決済履歴!$F$2:$F$198,"COMPLETED",統合決済履歴!$J$2:$J$198,"聖也",統合決済履歴!$K$2:$K$198,"2026-09")</f>
        <v/>
      </c>
      <c r="E14" s="32">
        <f>B14*設定!$B$3+C14*設定!$B$4+D14</f>
        <v/>
      </c>
    </row>
    <row r="15">
      <c r="A15" s="36" t="inlineStr">
        <is>
          <t>合計</t>
        </is>
      </c>
      <c r="B15" s="37">
        <f>SUM(B5:B14)</f>
        <v/>
      </c>
      <c r="C15" s="37">
        <f>SUM(C5:C14)</f>
        <v/>
      </c>
      <c r="D15" s="37">
        <f>SUM(D5:D14)</f>
        <v/>
      </c>
      <c r="E15" s="38">
        <f>SUM(E5:E14)</f>
        <v/>
      </c>
    </row>
    <row r="16"/>
    <row r="17">
      <c r="A17" s="1" t="inlineStr">
        <is>
          <t>■ 愛弓</t>
        </is>
      </c>
    </row>
    <row r="18">
      <c r="A18" s="6" t="inlineStr">
        <is>
          <t>カテゴリ</t>
        </is>
      </c>
      <c r="B18" s="29" t="inlineStr">
        <is>
          <t>GBP 合計</t>
        </is>
      </c>
      <c r="C18" s="29" t="inlineStr">
        <is>
          <t>EUR 合計</t>
        </is>
      </c>
      <c r="D18" s="29" t="inlineStr">
        <is>
          <t>JPY 合計</t>
        </is>
      </c>
      <c r="E18" s="29" t="inlineStr">
        <is>
          <t>JPY換算合計</t>
        </is>
      </c>
    </row>
    <row r="19">
      <c r="A19" s="30" t="inlineStr">
        <is>
          <t>Bills</t>
        </is>
      </c>
      <c r="B19" s="31">
        <f>SUMIFS(統合決済履歴!$C$2:$C$198,統合決済履歴!$G$2:$G$198,"Bills",統合決済履歴!$D$2:$D$198,"GBP",統合決済履歴!$F$2:$F$198,"COMPLETED",統合決済履歴!$J$2:$J$198,"愛弓",統合決済履歴!$K$2:$K$198,"2026-09")</f>
        <v/>
      </c>
      <c r="C19" s="31">
        <f>SUMIFS(統合決済履歴!$C$2:$C$198,統合決済履歴!$G$2:$G$198,"Bills",統合決済履歴!$D$2:$D$198,"EUR",統合決済履歴!$F$2:$F$198,"COMPLETED",統合決済履歴!$J$2:$J$198,"愛弓",統合決済履歴!$K$2:$K$198,"2026-09")</f>
        <v/>
      </c>
      <c r="D19" s="31">
        <f>SUMIFS(統合決済履歴!$C$2:$C$198,統合決済履歴!$G$2:$G$198,"Bills",統合決済履歴!$D$2:$D$198,"JPY",統合決済履歴!$F$2:$F$198,"COMPLETED",統合決済履歴!$J$2:$J$198,"愛弓",統合決済履歴!$K$2:$K$198,"2026-09")</f>
        <v/>
      </c>
      <c r="E19" s="32">
        <f>B19*設定!$B$3+C19*設定!$B$4+D19</f>
        <v/>
      </c>
    </row>
    <row r="20">
      <c r="A20" s="30" t="inlineStr">
        <is>
          <t>Eating out</t>
        </is>
      </c>
      <c r="B20" s="31">
        <f>SUMIFS(統合決済履歴!$C$2:$C$198,統合決済履歴!$G$2:$G$198,"Eating out",統合決済履歴!$D$2:$D$198,"GBP",統合決済履歴!$F$2:$F$198,"COMPLETED",統合決済履歴!$J$2:$J$198,"愛弓",統合決済履歴!$K$2:$K$198,"2026-09")</f>
        <v/>
      </c>
      <c r="C20" s="31">
        <f>SUMIFS(統合決済履歴!$C$2:$C$198,統合決済履歴!$G$2:$G$198,"Eating out",統合決済履歴!$D$2:$D$198,"EUR",統合決済履歴!$F$2:$F$198,"COMPLETED",統合決済履歴!$J$2:$J$198,"愛弓",統合決済履歴!$K$2:$K$198,"2026-09")</f>
        <v/>
      </c>
      <c r="D20" s="31">
        <f>SUMIFS(統合決済履歴!$C$2:$C$198,統合決済履歴!$G$2:$G$198,"Eating out",統合決済履歴!$D$2:$D$198,"JPY",統合決済履歴!$F$2:$F$198,"COMPLETED",統合決済履歴!$J$2:$J$198,"愛弓",統合決済履歴!$K$2:$K$198,"2026-09")</f>
        <v/>
      </c>
      <c r="E20" s="32">
        <f>B20*設定!$B$3+C20*設定!$B$4+D20</f>
        <v/>
      </c>
    </row>
    <row r="21">
      <c r="A21" s="30" t="inlineStr">
        <is>
          <t>Entertainment</t>
        </is>
      </c>
      <c r="B21" s="31">
        <f>SUMIFS(統合決済履歴!$C$2:$C$198,統合決済履歴!$G$2:$G$198,"Entertainment",統合決済履歴!$D$2:$D$198,"GBP",統合決済履歴!$F$2:$F$198,"COMPLETED",統合決済履歴!$J$2:$J$198,"愛弓",統合決済履歴!$K$2:$K$198,"2026-09")</f>
        <v/>
      </c>
      <c r="C21" s="31">
        <f>SUMIFS(統合決済履歴!$C$2:$C$198,統合決済履歴!$G$2:$G$198,"Entertainment",統合決済履歴!$D$2:$D$198,"EUR",統合決済履歴!$F$2:$F$198,"COMPLETED",統合決済履歴!$J$2:$J$198,"愛弓",統合決済履歴!$K$2:$K$198,"2026-09")</f>
        <v/>
      </c>
      <c r="D21" s="31">
        <f>SUMIFS(統合決済履歴!$C$2:$C$198,統合決済履歴!$G$2:$G$198,"Entertainment",統合決済履歴!$D$2:$D$198,"JPY",統合決済履歴!$F$2:$F$198,"COMPLETED",統合決済履歴!$J$2:$J$198,"愛弓",統合決済履歴!$K$2:$K$198,"2026-09")</f>
        <v/>
      </c>
      <c r="E21" s="32">
        <f>B21*設定!$B$3+C21*設定!$B$4+D21</f>
        <v/>
      </c>
    </row>
    <row r="22">
      <c r="A22" s="30" t="inlineStr">
        <is>
          <t>Family</t>
        </is>
      </c>
      <c r="B22" s="31">
        <f>SUMIFS(統合決済履歴!$C$2:$C$198,統合決済履歴!$G$2:$G$198,"Family",統合決済履歴!$D$2:$D$198,"GBP",統合決済履歴!$F$2:$F$198,"COMPLETED",統合決済履歴!$J$2:$J$198,"愛弓",統合決済履歴!$K$2:$K$198,"2026-09")</f>
        <v/>
      </c>
      <c r="C22" s="31">
        <f>SUMIFS(統合決済履歴!$C$2:$C$198,統合決済履歴!$G$2:$G$198,"Family",統合決済履歴!$D$2:$D$198,"EUR",統合決済履歴!$F$2:$F$198,"COMPLETED",統合決済履歴!$J$2:$J$198,"愛弓",統合決済履歴!$K$2:$K$198,"2026-09")</f>
        <v/>
      </c>
      <c r="D22" s="31">
        <f>SUMIFS(統合決済履歴!$C$2:$C$198,統合決済履歴!$G$2:$G$198,"Family",統合決済履歴!$D$2:$D$198,"JPY",統合決済履歴!$F$2:$F$198,"COMPLETED",統合決済履歴!$J$2:$J$198,"愛弓",統合決済履歴!$K$2:$K$198,"2026-09")</f>
        <v/>
      </c>
      <c r="E22" s="32">
        <f>B22*設定!$B$3+C22*設定!$B$4+D22</f>
        <v/>
      </c>
    </row>
    <row r="23">
      <c r="A23" s="30" t="inlineStr">
        <is>
          <t>General</t>
        </is>
      </c>
      <c r="B23" s="31">
        <f>SUMIFS(統合決済履歴!$C$2:$C$198,統合決済履歴!$G$2:$G$198,"General",統合決済履歴!$D$2:$D$198,"GBP",統合決済履歴!$F$2:$F$198,"COMPLETED",統合決済履歴!$J$2:$J$198,"愛弓",統合決済履歴!$K$2:$K$198,"2026-09")</f>
        <v/>
      </c>
      <c r="C23" s="31">
        <f>SUMIFS(統合決済履歴!$C$2:$C$198,統合決済履歴!$G$2:$G$198,"General",統合決済履歴!$D$2:$D$198,"EUR",統合決済履歴!$F$2:$F$198,"COMPLETED",統合決済履歴!$J$2:$J$198,"愛弓",統合決済履歴!$K$2:$K$198,"2026-09")</f>
        <v/>
      </c>
      <c r="D23" s="31">
        <f>SUMIFS(統合決済履歴!$C$2:$C$198,統合決済履歴!$G$2:$G$198,"General",統合決済履歴!$D$2:$D$198,"JPY",統合決済履歴!$F$2:$F$198,"COMPLETED",統合決済履歴!$J$2:$J$198,"愛弓",統合決済履歴!$K$2:$K$198,"2026-09")</f>
        <v/>
      </c>
      <c r="E23" s="32">
        <f>B23*設定!$B$3+C23*設定!$B$4+D23</f>
        <v/>
      </c>
    </row>
    <row r="24">
      <c r="A24" s="30" t="inlineStr">
        <is>
          <t>Groceries</t>
        </is>
      </c>
      <c r="B24" s="31">
        <f>SUMIFS(統合決済履歴!$C$2:$C$198,統合決済履歴!$G$2:$G$198,"Groceries",統合決済履歴!$D$2:$D$198,"GBP",統合決済履歴!$F$2:$F$198,"COMPLETED",統合決済履歴!$J$2:$J$198,"愛弓",統合決済履歴!$K$2:$K$198,"2026-09")</f>
        <v/>
      </c>
      <c r="C24" s="31">
        <f>SUMIFS(統合決済履歴!$C$2:$C$198,統合決済履歴!$G$2:$G$198,"Groceries",統合決済履歴!$D$2:$D$198,"EUR",統合決済履歴!$F$2:$F$198,"COMPLETED",統合決済履歴!$J$2:$J$198,"愛弓",統合決済履歴!$K$2:$K$198,"2026-09")</f>
        <v/>
      </c>
      <c r="D24" s="31">
        <f>SUMIFS(統合決済履歴!$C$2:$C$198,統合決済履歴!$G$2:$G$198,"Groceries",統合決済履歴!$D$2:$D$198,"JPY",統合決済履歴!$F$2:$F$198,"COMPLETED",統合決済履歴!$J$2:$J$198,"愛弓",統合決済履歴!$K$2:$K$198,"2026-09")</f>
        <v/>
      </c>
      <c r="E24" s="32">
        <f>B24*設定!$B$3+C24*設定!$B$4+D24</f>
        <v/>
      </c>
    </row>
    <row r="25">
      <c r="A25" s="30" t="inlineStr">
        <is>
          <t>Money added</t>
        </is>
      </c>
      <c r="B25" s="31">
        <f>SUMIFS(統合決済履歴!$C$2:$C$198,統合決済履歴!$G$2:$G$198,"Money added",統合決済履歴!$D$2:$D$198,"GBP",統合決済履歴!$F$2:$F$198,"COMPLETED",統合決済履歴!$J$2:$J$198,"愛弓",統合決済履歴!$K$2:$K$198,"2026-09")</f>
        <v/>
      </c>
      <c r="C25" s="31">
        <f>SUMIFS(統合決済履歴!$C$2:$C$198,統合決済履歴!$G$2:$G$198,"Money added",統合決済履歴!$D$2:$D$198,"EUR",統合決済履歴!$F$2:$F$198,"COMPLETED",統合決済履歴!$J$2:$J$198,"愛弓",統合決済履歴!$K$2:$K$198,"2026-09")</f>
        <v/>
      </c>
      <c r="D25" s="31">
        <f>SUMIFS(統合決済履歴!$C$2:$C$198,統合決済履歴!$G$2:$G$198,"Money added",統合決済履歴!$D$2:$D$198,"JPY",統合決済履歴!$F$2:$F$198,"COMPLETED",統合決済履歴!$J$2:$J$198,"愛弓",統合決済履歴!$K$2:$K$198,"2026-09")</f>
        <v/>
      </c>
      <c r="E25" s="32">
        <f>B25*設定!$B$3+C25*設定!$B$4+D25</f>
        <v/>
      </c>
    </row>
    <row r="26">
      <c r="A26" s="30" t="inlineStr">
        <is>
          <t>Personal care</t>
        </is>
      </c>
      <c r="B26" s="31">
        <f>SUMIFS(統合決済履歴!$C$2:$C$198,統合決済履歴!$G$2:$G$198,"Personal care",統合決済履歴!$D$2:$D$198,"GBP",統合決済履歴!$F$2:$F$198,"COMPLETED",統合決済履歴!$J$2:$J$198,"愛弓",統合決済履歴!$K$2:$K$198,"2026-09")</f>
        <v/>
      </c>
      <c r="C26" s="31">
        <f>SUMIFS(統合決済履歴!$C$2:$C$198,統合決済履歴!$G$2:$G$198,"Personal care",統合決済履歴!$D$2:$D$198,"EUR",統合決済履歴!$F$2:$F$198,"COMPLETED",統合決済履歴!$J$2:$J$198,"愛弓",統合決済履歴!$K$2:$K$198,"2026-09")</f>
        <v/>
      </c>
      <c r="D26" s="31">
        <f>SUMIFS(統合決済履歴!$C$2:$C$198,統合決済履歴!$G$2:$G$198,"Personal care",統合決済履歴!$D$2:$D$198,"JPY",統合決済履歴!$F$2:$F$198,"COMPLETED",統合決済履歴!$J$2:$J$198,"愛弓",統合決済履歴!$K$2:$K$198,"2026-09")</f>
        <v/>
      </c>
      <c r="E26" s="32">
        <f>B26*設定!$B$3+C26*設定!$B$4+D26</f>
        <v/>
      </c>
    </row>
    <row r="27">
      <c r="A27" s="30" t="inlineStr">
        <is>
          <t>Shopping</t>
        </is>
      </c>
      <c r="B27" s="31">
        <f>SUMIFS(統合決済履歴!$C$2:$C$198,統合決済履歴!$G$2:$G$198,"Shopping",統合決済履歴!$D$2:$D$198,"GBP",統合決済履歴!$F$2:$F$198,"COMPLETED",統合決済履歴!$J$2:$J$198,"愛弓",統合決済履歴!$K$2:$K$198,"2026-09")</f>
        <v/>
      </c>
      <c r="C27" s="31">
        <f>SUMIFS(統合決済履歴!$C$2:$C$198,統合決済履歴!$G$2:$G$198,"Shopping",統合決済履歴!$D$2:$D$198,"EUR",統合決済履歴!$F$2:$F$198,"COMPLETED",統合決済履歴!$J$2:$J$198,"愛弓",統合決済履歴!$K$2:$K$198,"2026-09")</f>
        <v/>
      </c>
      <c r="D27" s="31">
        <f>SUMIFS(統合決済履歴!$C$2:$C$198,統合決済履歴!$G$2:$G$198,"Shopping",統合決済履歴!$D$2:$D$198,"JPY",統合決済履歴!$F$2:$F$198,"COMPLETED",統合決済履歴!$J$2:$J$198,"愛弓",統合決済履歴!$K$2:$K$198,"2026-09")</f>
        <v/>
      </c>
      <c r="E27" s="32">
        <f>B27*設定!$B$3+C27*設定!$B$4+D27</f>
        <v/>
      </c>
    </row>
    <row r="28">
      <c r="A28" s="30" t="inlineStr">
        <is>
          <t>Transport</t>
        </is>
      </c>
      <c r="B28" s="31">
        <f>SUMIFS(統合決済履歴!$C$2:$C$198,統合決済履歴!$G$2:$G$198,"Transport",統合決済履歴!$D$2:$D$198,"GBP",統合決済履歴!$F$2:$F$198,"COMPLETED",統合決済履歴!$J$2:$J$198,"愛弓",統合決済履歴!$K$2:$K$198,"2026-09")</f>
        <v/>
      </c>
      <c r="C28" s="31">
        <f>SUMIFS(統合決済履歴!$C$2:$C$198,統合決済履歴!$G$2:$G$198,"Transport",統合決済履歴!$D$2:$D$198,"EUR",統合決済履歴!$F$2:$F$198,"COMPLETED",統合決済履歴!$J$2:$J$198,"愛弓",統合決済履歴!$K$2:$K$198,"2026-09")</f>
        <v/>
      </c>
      <c r="D28" s="31">
        <f>SUMIFS(統合決済履歴!$C$2:$C$198,統合決済履歴!$G$2:$G$198,"Transport",統合決済履歴!$D$2:$D$198,"JPY",統合決済履歴!$F$2:$F$198,"COMPLETED",統合決済履歴!$J$2:$J$198,"愛弓",統合決済履歴!$K$2:$K$198,"2026-09")</f>
        <v/>
      </c>
      <c r="E28" s="32">
        <f>B28*設定!$B$3+C28*設定!$B$4+D28</f>
        <v/>
      </c>
    </row>
    <row r="29">
      <c r="A29" s="36" t="inlineStr">
        <is>
          <t>合計</t>
        </is>
      </c>
      <c r="B29" s="37">
        <f>SUM(B19:B28)</f>
        <v/>
      </c>
      <c r="C29" s="37">
        <f>SUM(C19:C28)</f>
        <v/>
      </c>
      <c r="D29" s="37">
        <f>SUM(D19:D28)</f>
        <v/>
      </c>
      <c r="E29" s="38">
        <f>SUM(E19:E28)</f>
        <v/>
      </c>
    </row>
    <row r="30"/>
    <row r="31">
      <c r="A31" s="1" t="inlineStr">
        <is>
          <t>■ 共通</t>
        </is>
      </c>
    </row>
    <row r="32">
      <c r="A32" s="6" t="inlineStr">
        <is>
          <t>カテゴリ</t>
        </is>
      </c>
      <c r="B32" s="29" t="inlineStr">
        <is>
          <t>GBP 合計</t>
        </is>
      </c>
      <c r="C32" s="29" t="inlineStr">
        <is>
          <t>EUR 合計</t>
        </is>
      </c>
      <c r="D32" s="29" t="inlineStr">
        <is>
          <t>JPY 合計</t>
        </is>
      </c>
      <c r="E32" s="29" t="inlineStr">
        <is>
          <t>JPY換算合計</t>
        </is>
      </c>
    </row>
    <row r="33">
      <c r="A33" s="30" t="inlineStr">
        <is>
          <t>Bills</t>
        </is>
      </c>
      <c r="B33" s="31">
        <f>SUMIFS(統合決済履歴!$C$2:$C$198,統合決済履歴!$G$2:$G$198,"Bills",統合決済履歴!$D$2:$D$198,"GBP",統合決済履歴!$F$2:$F$198,"COMPLETED",統合決済履歴!$J$2:$J$198,"共通",統合決済履歴!$K$2:$K$198,"2026-09")</f>
        <v/>
      </c>
      <c r="C33" s="31">
        <f>SUMIFS(統合決済履歴!$C$2:$C$198,統合決済履歴!$G$2:$G$198,"Bills",統合決済履歴!$D$2:$D$198,"EUR",統合決済履歴!$F$2:$F$198,"COMPLETED",統合決済履歴!$J$2:$J$198,"共通",統合決済履歴!$K$2:$K$198,"2026-09")</f>
        <v/>
      </c>
      <c r="D33" s="31">
        <f>SUMIFS(統合決済履歴!$C$2:$C$198,統合決済履歴!$G$2:$G$198,"Bills",統合決済履歴!$D$2:$D$198,"JPY",統合決済履歴!$F$2:$F$198,"COMPLETED",統合決済履歴!$J$2:$J$198,"共通",統合決済履歴!$K$2:$K$198,"2026-09")</f>
        <v/>
      </c>
      <c r="E33" s="32">
        <f>B33*設定!$B$3+C33*設定!$B$4+D33</f>
        <v/>
      </c>
    </row>
    <row r="34">
      <c r="A34" s="30" t="inlineStr">
        <is>
          <t>Eating out</t>
        </is>
      </c>
      <c r="B34" s="31">
        <f>SUMIFS(統合決済履歴!$C$2:$C$198,統合決済履歴!$G$2:$G$198,"Eating out",統合決済履歴!$D$2:$D$198,"GBP",統合決済履歴!$F$2:$F$198,"COMPLETED",統合決済履歴!$J$2:$J$198,"共通",統合決済履歴!$K$2:$K$198,"2026-09")</f>
        <v/>
      </c>
      <c r="C34" s="31">
        <f>SUMIFS(統合決済履歴!$C$2:$C$198,統合決済履歴!$G$2:$G$198,"Eating out",統合決済履歴!$D$2:$D$198,"EUR",統合決済履歴!$F$2:$F$198,"COMPLETED",統合決済履歴!$J$2:$J$198,"共通",統合決済履歴!$K$2:$K$198,"2026-09")</f>
        <v/>
      </c>
      <c r="D34" s="31">
        <f>SUMIFS(統合決済履歴!$C$2:$C$198,統合決済履歴!$G$2:$G$198,"Eating out",統合決済履歴!$D$2:$D$198,"JPY",統合決済履歴!$F$2:$F$198,"COMPLETED",統合決済履歴!$J$2:$J$198,"共通",統合決済履歴!$K$2:$K$198,"2026-09")</f>
        <v/>
      </c>
      <c r="E34" s="32">
        <f>B34*設定!$B$3+C34*設定!$B$4+D34</f>
        <v/>
      </c>
    </row>
    <row r="35">
      <c r="A35" s="30" t="inlineStr">
        <is>
          <t>Entertainment</t>
        </is>
      </c>
      <c r="B35" s="31">
        <f>SUMIFS(統合決済履歴!$C$2:$C$198,統合決済履歴!$G$2:$G$198,"Entertainment",統合決済履歴!$D$2:$D$198,"GBP",統合決済履歴!$F$2:$F$198,"COMPLETED",統合決済履歴!$J$2:$J$198,"共通",統合決済履歴!$K$2:$K$198,"2026-09")</f>
        <v/>
      </c>
      <c r="C35" s="31">
        <f>SUMIFS(統合決済履歴!$C$2:$C$198,統合決済履歴!$G$2:$G$198,"Entertainment",統合決済履歴!$D$2:$D$198,"EUR",統合決済履歴!$F$2:$F$198,"COMPLETED",統合決済履歴!$J$2:$J$198,"共通",統合決済履歴!$K$2:$K$198,"2026-09")</f>
        <v/>
      </c>
      <c r="D35" s="31">
        <f>SUMIFS(統合決済履歴!$C$2:$C$198,統合決済履歴!$G$2:$G$198,"Entertainment",統合決済履歴!$D$2:$D$198,"JPY",統合決済履歴!$F$2:$F$198,"COMPLETED",統合決済履歴!$J$2:$J$198,"共通",統合決済履歴!$K$2:$K$198,"2026-09")</f>
        <v/>
      </c>
      <c r="E35" s="32">
        <f>B35*設定!$B$3+C35*設定!$B$4+D35</f>
        <v/>
      </c>
    </row>
    <row r="36">
      <c r="A36" s="30" t="inlineStr">
        <is>
          <t>Family</t>
        </is>
      </c>
      <c r="B36" s="31">
        <f>SUMIFS(統合決済履歴!$C$2:$C$198,統合決済履歴!$G$2:$G$198,"Family",統合決済履歴!$D$2:$D$198,"GBP",統合決済履歴!$F$2:$F$198,"COMPLETED",統合決済履歴!$J$2:$J$198,"共通",統合決済履歴!$K$2:$K$198,"2026-09")</f>
        <v/>
      </c>
      <c r="C36" s="31">
        <f>SUMIFS(統合決済履歴!$C$2:$C$198,統合決済履歴!$G$2:$G$198,"Family",統合決済履歴!$D$2:$D$198,"EUR",統合決済履歴!$F$2:$F$198,"COMPLETED",統合決済履歴!$J$2:$J$198,"共通",統合決済履歴!$K$2:$K$198,"2026-09")</f>
        <v/>
      </c>
      <c r="D36" s="31">
        <f>SUMIFS(統合決済履歴!$C$2:$C$198,統合決済履歴!$G$2:$G$198,"Family",統合決済履歴!$D$2:$D$198,"JPY",統合決済履歴!$F$2:$F$198,"COMPLETED",統合決済履歴!$J$2:$J$198,"共通",統合決済履歴!$K$2:$K$198,"2026-09")</f>
        <v/>
      </c>
      <c r="E36" s="32">
        <f>B36*設定!$B$3+C36*設定!$B$4+D36</f>
        <v/>
      </c>
    </row>
    <row r="37">
      <c r="A37" s="30" t="inlineStr">
        <is>
          <t>General</t>
        </is>
      </c>
      <c r="B37" s="31">
        <f>SUMIFS(統合決済履歴!$C$2:$C$198,統合決済履歴!$G$2:$G$198,"General",統合決済履歴!$D$2:$D$198,"GBP",統合決済履歴!$F$2:$F$198,"COMPLETED",統合決済履歴!$J$2:$J$198,"共通",統合決済履歴!$K$2:$K$198,"2026-09")</f>
        <v/>
      </c>
      <c r="C37" s="31">
        <f>SUMIFS(統合決済履歴!$C$2:$C$198,統合決済履歴!$G$2:$G$198,"General",統合決済履歴!$D$2:$D$198,"EUR",統合決済履歴!$F$2:$F$198,"COMPLETED",統合決済履歴!$J$2:$J$198,"共通",統合決済履歴!$K$2:$K$198,"2026-09")</f>
        <v/>
      </c>
      <c r="D37" s="31">
        <f>SUMIFS(統合決済履歴!$C$2:$C$198,統合決済履歴!$G$2:$G$198,"General",統合決済履歴!$D$2:$D$198,"JPY",統合決済履歴!$F$2:$F$198,"COMPLETED",統合決済履歴!$J$2:$J$198,"共通",統合決済履歴!$K$2:$K$198,"2026-09")</f>
        <v/>
      </c>
      <c r="E37" s="32">
        <f>B37*設定!$B$3+C37*設定!$B$4+D37</f>
        <v/>
      </c>
    </row>
    <row r="38">
      <c r="A38" s="30" t="inlineStr">
        <is>
          <t>Groceries</t>
        </is>
      </c>
      <c r="B38" s="31">
        <f>SUMIFS(統合決済履歴!$C$2:$C$198,統合決済履歴!$G$2:$G$198,"Groceries",統合決済履歴!$D$2:$D$198,"GBP",統合決済履歴!$F$2:$F$198,"COMPLETED",統合決済履歴!$J$2:$J$198,"共通",統合決済履歴!$K$2:$K$198,"2026-09")</f>
        <v/>
      </c>
      <c r="C38" s="31">
        <f>SUMIFS(統合決済履歴!$C$2:$C$198,統合決済履歴!$G$2:$G$198,"Groceries",統合決済履歴!$D$2:$D$198,"EUR",統合決済履歴!$F$2:$F$198,"COMPLETED",統合決済履歴!$J$2:$J$198,"共通",統合決済履歴!$K$2:$K$198,"2026-09")</f>
        <v/>
      </c>
      <c r="D38" s="31">
        <f>SUMIFS(統合決済履歴!$C$2:$C$198,統合決済履歴!$G$2:$G$198,"Groceries",統合決済履歴!$D$2:$D$198,"JPY",統合決済履歴!$F$2:$F$198,"COMPLETED",統合決済履歴!$J$2:$J$198,"共通",統合決済履歴!$K$2:$K$198,"2026-09")</f>
        <v/>
      </c>
      <c r="E38" s="32">
        <f>B38*設定!$B$3+C38*設定!$B$4+D38</f>
        <v/>
      </c>
    </row>
    <row r="39">
      <c r="A39" s="30" t="inlineStr">
        <is>
          <t>Money added</t>
        </is>
      </c>
      <c r="B39" s="31">
        <f>SUMIFS(統合決済履歴!$C$2:$C$198,統合決済履歴!$G$2:$G$198,"Money added",統合決済履歴!$D$2:$D$198,"GBP",統合決済履歴!$F$2:$F$198,"COMPLETED",統合決済履歴!$J$2:$J$198,"共通",統合決済履歴!$K$2:$K$198,"2026-09")</f>
        <v/>
      </c>
      <c r="C39" s="31">
        <f>SUMIFS(統合決済履歴!$C$2:$C$198,統合決済履歴!$G$2:$G$198,"Money added",統合決済履歴!$D$2:$D$198,"EUR",統合決済履歴!$F$2:$F$198,"COMPLETED",統合決済履歴!$J$2:$J$198,"共通",統合決済履歴!$K$2:$K$198,"2026-09")</f>
        <v/>
      </c>
      <c r="D39" s="31">
        <f>SUMIFS(統合決済履歴!$C$2:$C$198,統合決済履歴!$G$2:$G$198,"Money added",統合決済履歴!$D$2:$D$198,"JPY",統合決済履歴!$F$2:$F$198,"COMPLETED",統合決済履歴!$J$2:$J$198,"共通",統合決済履歴!$K$2:$K$198,"2026-09")</f>
        <v/>
      </c>
      <c r="E39" s="32">
        <f>B39*設定!$B$3+C39*設定!$B$4+D39</f>
        <v/>
      </c>
    </row>
    <row r="40">
      <c r="A40" s="30" t="inlineStr">
        <is>
          <t>Personal care</t>
        </is>
      </c>
      <c r="B40" s="31">
        <f>SUMIFS(統合決済履歴!$C$2:$C$198,統合決済履歴!$G$2:$G$198,"Personal care",統合決済履歴!$D$2:$D$198,"GBP",統合決済履歴!$F$2:$F$198,"COMPLETED",統合決済履歴!$J$2:$J$198,"共通",統合決済履歴!$K$2:$K$198,"2026-09")</f>
        <v/>
      </c>
      <c r="C40" s="31">
        <f>SUMIFS(統合決済履歴!$C$2:$C$198,統合決済履歴!$G$2:$G$198,"Personal care",統合決済履歴!$D$2:$D$198,"EUR",統合決済履歴!$F$2:$F$198,"COMPLETED",統合決済履歴!$J$2:$J$198,"共通",統合決済履歴!$K$2:$K$198,"2026-09")</f>
        <v/>
      </c>
      <c r="D40" s="31">
        <f>SUMIFS(統合決済履歴!$C$2:$C$198,統合決済履歴!$G$2:$G$198,"Personal care",統合決済履歴!$D$2:$D$198,"JPY",統合決済履歴!$F$2:$F$198,"COMPLETED",統合決済履歴!$J$2:$J$198,"共通",統合決済履歴!$K$2:$K$198,"2026-09")</f>
        <v/>
      </c>
      <c r="E40" s="32">
        <f>B40*設定!$B$3+C40*設定!$B$4+D40</f>
        <v/>
      </c>
    </row>
    <row r="41">
      <c r="A41" s="30" t="inlineStr">
        <is>
          <t>Shopping</t>
        </is>
      </c>
      <c r="B41" s="31">
        <f>SUMIFS(統合決済履歴!$C$2:$C$198,統合決済履歴!$G$2:$G$198,"Shopping",統合決済履歴!$D$2:$D$198,"GBP",統合決済履歴!$F$2:$F$198,"COMPLETED",統合決済履歴!$J$2:$J$198,"共通",統合決済履歴!$K$2:$K$198,"2026-09")</f>
        <v/>
      </c>
      <c r="C41" s="31">
        <f>SUMIFS(統合決済履歴!$C$2:$C$198,統合決済履歴!$G$2:$G$198,"Shopping",統合決済履歴!$D$2:$D$198,"EUR",統合決済履歴!$F$2:$F$198,"COMPLETED",統合決済履歴!$J$2:$J$198,"共通",統合決済履歴!$K$2:$K$198,"2026-09")</f>
        <v/>
      </c>
      <c r="D41" s="31">
        <f>SUMIFS(統合決済履歴!$C$2:$C$198,統合決済履歴!$G$2:$G$198,"Shopping",統合決済履歴!$D$2:$D$198,"JPY",統合決済履歴!$F$2:$F$198,"COMPLETED",統合決済履歴!$J$2:$J$198,"共通",統合決済履歴!$K$2:$K$198,"2026-09")</f>
        <v/>
      </c>
      <c r="E41" s="32">
        <f>B41*設定!$B$3+C41*設定!$B$4+D41</f>
        <v/>
      </c>
    </row>
    <row r="42">
      <c r="A42" s="30" t="inlineStr">
        <is>
          <t>Transport</t>
        </is>
      </c>
      <c r="B42" s="31">
        <f>SUMIFS(統合決済履歴!$C$2:$C$198,統合決済履歴!$G$2:$G$198,"Transport",統合決済履歴!$D$2:$D$198,"GBP",統合決済履歴!$F$2:$F$198,"COMPLETED",統合決済履歴!$J$2:$J$198,"共通",統合決済履歴!$K$2:$K$198,"2026-09")</f>
        <v/>
      </c>
      <c r="C42" s="31">
        <f>SUMIFS(統合決済履歴!$C$2:$C$198,統合決済履歴!$G$2:$G$198,"Transport",統合決済履歴!$D$2:$D$198,"EUR",統合決済履歴!$F$2:$F$198,"COMPLETED",統合決済履歴!$J$2:$J$198,"共通",統合決済履歴!$K$2:$K$198,"2026-09")</f>
        <v/>
      </c>
      <c r="D42" s="31">
        <f>SUMIFS(統合決済履歴!$C$2:$C$198,統合決済履歴!$G$2:$G$198,"Transport",統合決済履歴!$D$2:$D$198,"JPY",統合決済履歴!$F$2:$F$198,"COMPLETED",統合決済履歴!$J$2:$J$198,"共通",統合決済履歴!$K$2:$K$198,"2026-09")</f>
        <v/>
      </c>
      <c r="E42" s="32">
        <f>B42*設定!$B$3+C42*設定!$B$4+D42</f>
        <v/>
      </c>
    </row>
    <row r="43">
      <c r="A43" s="36" t="inlineStr">
        <is>
          <t>合計</t>
        </is>
      </c>
      <c r="B43" s="37">
        <f>SUM(B33:B42)</f>
        <v/>
      </c>
      <c r="C43" s="37">
        <f>SUM(C33:C42)</f>
        <v/>
      </c>
      <c r="D43" s="37">
        <f>SUM(D33:D42)</f>
        <v/>
      </c>
      <c r="E43" s="38">
        <f>SUM(E33:E42)</f>
        <v/>
      </c>
    </row>
    <row r="44"/>
    <row r="45">
      <c r="A45" s="1" t="inlineStr">
        <is>
          <t>■ 合計（聖也＋愛弓＋共通、除外を除く）</t>
        </is>
      </c>
    </row>
    <row r="46">
      <c r="A46" s="6" t="inlineStr">
        <is>
          <t>カテゴリ</t>
        </is>
      </c>
      <c r="B46" s="29" t="inlineStr">
        <is>
          <t>GBP 合計</t>
        </is>
      </c>
      <c r="C46" s="29" t="inlineStr">
        <is>
          <t>EUR 合計</t>
        </is>
      </c>
      <c r="D46" s="29" t="inlineStr">
        <is>
          <t>JPY 合計</t>
        </is>
      </c>
      <c r="E46" s="29" t="inlineStr">
        <is>
          <t>JPY換算合計</t>
        </is>
      </c>
    </row>
    <row r="47">
      <c r="A47" s="30" t="inlineStr">
        <is>
          <t>Bills</t>
        </is>
      </c>
      <c r="B47" s="31">
        <f>SUMIFS(統合決済履歴!$C$2:$C$198,統合決済履歴!$G$2:$G$198,"Bills",統合決済履歴!$D$2:$D$198,"GBP",統合決済履歴!$F$2:$F$198,"COMPLETED",統合決済履歴!$J$2:$J$198,"&lt;&gt;除外",統合決済履歴!$K$2:$K$198,"2026-09")</f>
        <v/>
      </c>
      <c r="C47" s="31">
        <f>SUMIFS(統合決済履歴!$C$2:$C$198,統合決済履歴!$G$2:$G$198,"Bills",統合決済履歴!$D$2:$D$198,"EUR",統合決済履歴!$F$2:$F$198,"COMPLETED",統合決済履歴!$J$2:$J$198,"&lt;&gt;除外",統合決済履歴!$K$2:$K$198,"2026-09")</f>
        <v/>
      </c>
      <c r="D47" s="31">
        <f>SUMIFS(統合決済履歴!$C$2:$C$198,統合決済履歴!$G$2:$G$198,"Bills",統合決済履歴!$D$2:$D$198,"JPY",統合決済履歴!$F$2:$F$198,"COMPLETED",統合決済履歴!$J$2:$J$198,"&lt;&gt;除外",統合決済履歴!$K$2:$K$198,"2026-09")</f>
        <v/>
      </c>
      <c r="E47" s="32">
        <f>B47*設定!$B$3+C47*設定!$B$4+D47</f>
        <v/>
      </c>
    </row>
    <row r="48">
      <c r="A48" s="30" t="inlineStr">
        <is>
          <t>Eating out</t>
        </is>
      </c>
      <c r="B48" s="31">
        <f>SUMIFS(統合決済履歴!$C$2:$C$198,統合決済履歴!$G$2:$G$198,"Eating out",統合決済履歴!$D$2:$D$198,"GBP",統合決済履歴!$F$2:$F$198,"COMPLETED",統合決済履歴!$J$2:$J$198,"&lt;&gt;除外",統合決済履歴!$K$2:$K$198,"2026-09")</f>
        <v/>
      </c>
      <c r="C48" s="31">
        <f>SUMIFS(統合決済履歴!$C$2:$C$198,統合決済履歴!$G$2:$G$198,"Eating out",統合決済履歴!$D$2:$D$198,"EUR",統合決済履歴!$F$2:$F$198,"COMPLETED",統合決済履歴!$J$2:$J$198,"&lt;&gt;除外",統合決済履歴!$K$2:$K$198,"2026-09")</f>
        <v/>
      </c>
      <c r="D48" s="31">
        <f>SUMIFS(統合決済履歴!$C$2:$C$198,統合決済履歴!$G$2:$G$198,"Eating out",統合決済履歴!$D$2:$D$198,"JPY",統合決済履歴!$F$2:$F$198,"COMPLETED",統合決済履歴!$J$2:$J$198,"&lt;&gt;除外",統合決済履歴!$K$2:$K$198,"2026-09")</f>
        <v/>
      </c>
      <c r="E48" s="32">
        <f>B48*設定!$B$3+C48*設定!$B$4+D48</f>
        <v/>
      </c>
    </row>
    <row r="49">
      <c r="A49" s="30" t="inlineStr">
        <is>
          <t>Entertainment</t>
        </is>
      </c>
      <c r="B49" s="31">
        <f>SUMIFS(統合決済履歴!$C$2:$C$198,統合決済履歴!$G$2:$G$198,"Entertainment",統合決済履歴!$D$2:$D$198,"GBP",統合決済履歴!$F$2:$F$198,"COMPLETED",統合決済履歴!$J$2:$J$198,"&lt;&gt;除外",統合決済履歴!$K$2:$K$198,"2026-09")</f>
        <v/>
      </c>
      <c r="C49" s="31">
        <f>SUMIFS(統合決済履歴!$C$2:$C$198,統合決済履歴!$G$2:$G$198,"Entertainment",統合決済履歴!$D$2:$D$198,"EUR",統合決済履歴!$F$2:$F$198,"COMPLETED",統合決済履歴!$J$2:$J$198,"&lt;&gt;除外",統合決済履歴!$K$2:$K$198,"2026-09")</f>
        <v/>
      </c>
      <c r="D49" s="31">
        <f>SUMIFS(統合決済履歴!$C$2:$C$198,統合決済履歴!$G$2:$G$198,"Entertainment",統合決済履歴!$D$2:$D$198,"JPY",統合決済履歴!$F$2:$F$198,"COMPLETED",統合決済履歴!$J$2:$J$198,"&lt;&gt;除外",統合決済履歴!$K$2:$K$198,"2026-09")</f>
        <v/>
      </c>
      <c r="E49" s="32">
        <f>B49*設定!$B$3+C49*設定!$B$4+D49</f>
        <v/>
      </c>
    </row>
    <row r="50">
      <c r="A50" s="30" t="inlineStr">
        <is>
          <t>Family</t>
        </is>
      </c>
      <c r="B50" s="31">
        <f>SUMIFS(統合決済履歴!$C$2:$C$198,統合決済履歴!$G$2:$G$198,"Family",統合決済履歴!$D$2:$D$198,"GBP",統合決済履歴!$F$2:$F$198,"COMPLETED",統合決済履歴!$J$2:$J$198,"&lt;&gt;除外",統合決済履歴!$K$2:$K$198,"2026-09")</f>
        <v/>
      </c>
      <c r="C50" s="31">
        <f>SUMIFS(統合決済履歴!$C$2:$C$198,統合決済履歴!$G$2:$G$198,"Family",統合決済履歴!$D$2:$D$198,"EUR",統合決済履歴!$F$2:$F$198,"COMPLETED",統合決済履歴!$J$2:$J$198,"&lt;&gt;除外",統合決済履歴!$K$2:$K$198,"2026-09")</f>
        <v/>
      </c>
      <c r="D50" s="31">
        <f>SUMIFS(統合決済履歴!$C$2:$C$198,統合決済履歴!$G$2:$G$198,"Family",統合決済履歴!$D$2:$D$198,"JPY",統合決済履歴!$F$2:$F$198,"COMPLETED",統合決済履歴!$J$2:$J$198,"&lt;&gt;除外",統合決済履歴!$K$2:$K$198,"2026-09")</f>
        <v/>
      </c>
      <c r="E50" s="32">
        <f>B50*設定!$B$3+C50*設定!$B$4+D50</f>
        <v/>
      </c>
    </row>
    <row r="51">
      <c r="A51" s="30" t="inlineStr">
        <is>
          <t>General</t>
        </is>
      </c>
      <c r="B51" s="31">
        <f>SUMIFS(統合決済履歴!$C$2:$C$198,統合決済履歴!$G$2:$G$198,"General",統合決済履歴!$D$2:$D$198,"GBP",統合決済履歴!$F$2:$F$198,"COMPLETED",統合決済履歴!$J$2:$J$198,"&lt;&gt;除外",統合決済履歴!$K$2:$K$198,"2026-09")</f>
        <v/>
      </c>
      <c r="C51" s="31">
        <f>SUMIFS(統合決済履歴!$C$2:$C$198,統合決済履歴!$G$2:$G$198,"General",統合決済履歴!$D$2:$D$198,"EUR",統合決済履歴!$F$2:$F$198,"COMPLETED",統合決済履歴!$J$2:$J$198,"&lt;&gt;除外",統合決済履歴!$K$2:$K$198,"2026-09")</f>
        <v/>
      </c>
      <c r="D51" s="31">
        <f>SUMIFS(統合決済履歴!$C$2:$C$198,統合決済履歴!$G$2:$G$198,"General",統合決済履歴!$D$2:$D$198,"JPY",統合決済履歴!$F$2:$F$198,"COMPLETED",統合決済履歴!$J$2:$J$198,"&lt;&gt;除外",統合決済履歴!$K$2:$K$198,"2026-09")</f>
        <v/>
      </c>
      <c r="E51" s="32">
        <f>B51*設定!$B$3+C51*設定!$B$4+D51</f>
        <v/>
      </c>
    </row>
    <row r="52">
      <c r="A52" s="30" t="inlineStr">
        <is>
          <t>Groceries</t>
        </is>
      </c>
      <c r="B52" s="31">
        <f>SUMIFS(統合決済履歴!$C$2:$C$198,統合決済履歴!$G$2:$G$198,"Groceries",統合決済履歴!$D$2:$D$198,"GBP",統合決済履歴!$F$2:$F$198,"COMPLETED",統合決済履歴!$J$2:$J$198,"&lt;&gt;除外",統合決済履歴!$K$2:$K$198,"2026-09")</f>
        <v/>
      </c>
      <c r="C52" s="31">
        <f>SUMIFS(統合決済履歴!$C$2:$C$198,統合決済履歴!$G$2:$G$198,"Groceries",統合決済履歴!$D$2:$D$198,"EUR",統合決済履歴!$F$2:$F$198,"COMPLETED",統合決済履歴!$J$2:$J$198,"&lt;&gt;除外",統合決済履歴!$K$2:$K$198,"2026-09")</f>
        <v/>
      </c>
      <c r="D52" s="31">
        <f>SUMIFS(統合決済履歴!$C$2:$C$198,統合決済履歴!$G$2:$G$198,"Groceries",統合決済履歴!$D$2:$D$198,"JPY",統合決済履歴!$F$2:$F$198,"COMPLETED",統合決済履歴!$J$2:$J$198,"&lt;&gt;除外",統合決済履歴!$K$2:$K$198,"2026-09")</f>
        <v/>
      </c>
      <c r="E52" s="32">
        <f>B52*設定!$B$3+C52*設定!$B$4+D52</f>
        <v/>
      </c>
    </row>
    <row r="53">
      <c r="A53" s="30" t="inlineStr">
        <is>
          <t>Money added</t>
        </is>
      </c>
      <c r="B53" s="31">
        <f>SUMIFS(統合決済履歴!$C$2:$C$198,統合決済履歴!$G$2:$G$198,"Money added",統合決済履歴!$D$2:$D$198,"GBP",統合決済履歴!$F$2:$F$198,"COMPLETED",統合決済履歴!$J$2:$J$198,"&lt;&gt;除外",統合決済履歴!$K$2:$K$198,"2026-09")</f>
        <v/>
      </c>
      <c r="C53" s="31">
        <f>SUMIFS(統合決済履歴!$C$2:$C$198,統合決済履歴!$G$2:$G$198,"Money added",統合決済履歴!$D$2:$D$198,"EUR",統合決済履歴!$F$2:$F$198,"COMPLETED",統合決済履歴!$J$2:$J$198,"&lt;&gt;除外",統合決済履歴!$K$2:$K$198,"2026-09")</f>
        <v/>
      </c>
      <c r="D53" s="31">
        <f>SUMIFS(統合決済履歴!$C$2:$C$198,統合決済履歴!$G$2:$G$198,"Money added",統合決済履歴!$D$2:$D$198,"JPY",統合決済履歴!$F$2:$F$198,"COMPLETED",統合決済履歴!$J$2:$J$198,"&lt;&gt;除外",統合決済履歴!$K$2:$K$198,"2026-09")</f>
        <v/>
      </c>
      <c r="E53" s="32">
        <f>B53*設定!$B$3+C53*設定!$B$4+D53</f>
        <v/>
      </c>
    </row>
    <row r="54">
      <c r="A54" s="30" t="inlineStr">
        <is>
          <t>Personal care</t>
        </is>
      </c>
      <c r="B54" s="31">
        <f>SUMIFS(統合決済履歴!$C$2:$C$198,統合決済履歴!$G$2:$G$198,"Personal care",統合決済履歴!$D$2:$D$198,"GBP",統合決済履歴!$F$2:$F$198,"COMPLETED",統合決済履歴!$J$2:$J$198,"&lt;&gt;除外",統合決済履歴!$K$2:$K$198,"2026-09")</f>
        <v/>
      </c>
      <c r="C54" s="31">
        <f>SUMIFS(統合決済履歴!$C$2:$C$198,統合決済履歴!$G$2:$G$198,"Personal care",統合決済履歴!$D$2:$D$198,"EUR",統合決済履歴!$F$2:$F$198,"COMPLETED",統合決済履歴!$J$2:$J$198,"&lt;&gt;除外",統合決済履歴!$K$2:$K$198,"2026-09")</f>
        <v/>
      </c>
      <c r="D54" s="31">
        <f>SUMIFS(統合決済履歴!$C$2:$C$198,統合決済履歴!$G$2:$G$198,"Personal care",統合決済履歴!$D$2:$D$198,"JPY",統合決済履歴!$F$2:$F$198,"COMPLETED",統合決済履歴!$J$2:$J$198,"&lt;&gt;除外",統合決済履歴!$K$2:$K$198,"2026-09")</f>
        <v/>
      </c>
      <c r="E54" s="32">
        <f>B54*設定!$B$3+C54*設定!$B$4+D54</f>
        <v/>
      </c>
    </row>
    <row r="55">
      <c r="A55" s="30" t="inlineStr">
        <is>
          <t>Shopping</t>
        </is>
      </c>
      <c r="B55" s="31">
        <f>SUMIFS(統合決済履歴!$C$2:$C$198,統合決済履歴!$G$2:$G$198,"Shopping",統合決済履歴!$D$2:$D$198,"GBP",統合決済履歴!$F$2:$F$198,"COMPLETED",統合決済履歴!$J$2:$J$198,"&lt;&gt;除外",統合決済履歴!$K$2:$K$198,"2026-09")</f>
        <v/>
      </c>
      <c r="C55" s="31">
        <f>SUMIFS(統合決済履歴!$C$2:$C$198,統合決済履歴!$G$2:$G$198,"Shopping",統合決済履歴!$D$2:$D$198,"EUR",統合決済履歴!$F$2:$F$198,"COMPLETED",統合決済履歴!$J$2:$J$198,"&lt;&gt;除外",統合決済履歴!$K$2:$K$198,"2026-09")</f>
        <v/>
      </c>
      <c r="D55" s="31">
        <f>SUMIFS(統合決済履歴!$C$2:$C$198,統合決済履歴!$G$2:$G$198,"Shopping",統合決済履歴!$D$2:$D$198,"JPY",統合決済履歴!$F$2:$F$198,"COMPLETED",統合決済履歴!$J$2:$J$198,"&lt;&gt;除外",統合決済履歴!$K$2:$K$198,"2026-09")</f>
        <v/>
      </c>
      <c r="E55" s="32">
        <f>B55*設定!$B$3+C55*設定!$B$4+D55</f>
        <v/>
      </c>
    </row>
    <row r="56">
      <c r="A56" s="30" t="inlineStr">
        <is>
          <t>Transport</t>
        </is>
      </c>
      <c r="B56" s="31">
        <f>SUMIFS(統合決済履歴!$C$2:$C$198,統合決済履歴!$G$2:$G$198,"Transport",統合決済履歴!$D$2:$D$198,"GBP",統合決済履歴!$F$2:$F$198,"COMPLETED",統合決済履歴!$J$2:$J$198,"&lt;&gt;除外",統合決済履歴!$K$2:$K$198,"2026-09")</f>
        <v/>
      </c>
      <c r="C56" s="31">
        <f>SUMIFS(統合決済履歴!$C$2:$C$198,統合決済履歴!$G$2:$G$198,"Transport",統合決済履歴!$D$2:$D$198,"EUR",統合決済履歴!$F$2:$F$198,"COMPLETED",統合決済履歴!$J$2:$J$198,"&lt;&gt;除外",統合決済履歴!$K$2:$K$198,"2026-09")</f>
        <v/>
      </c>
      <c r="D56" s="31">
        <f>SUMIFS(統合決済履歴!$C$2:$C$198,統合決済履歴!$G$2:$G$198,"Transport",統合決済履歴!$D$2:$D$198,"JPY",統合決済履歴!$F$2:$F$198,"COMPLETED",統合決済履歴!$J$2:$J$198,"&lt;&gt;除外",統合決済履歴!$K$2:$K$198,"2026-09")</f>
        <v/>
      </c>
      <c r="E56" s="32">
        <f>B56*設定!$B$3+C56*設定!$B$4+D56</f>
        <v/>
      </c>
    </row>
    <row r="57">
      <c r="A57" s="36" t="inlineStr">
        <is>
          <t>合計</t>
        </is>
      </c>
      <c r="B57" s="37">
        <f>SUM(B47:B56)</f>
        <v/>
      </c>
      <c r="C57" s="37">
        <f>SUM(C47:C56)</f>
        <v/>
      </c>
      <c r="D57" s="37">
        <f>SUM(D47:D56)</f>
        <v/>
      </c>
      <c r="E57" s="38">
        <f>SUM(E47:E56)</f>
        <v/>
      </c>
    </row>
    <row r="58"/>
    <row r="59">
      <c r="A59" s="1" t="inlineStr">
        <is>
          <t>■ 除外（参考・合計には含めない）</t>
        </is>
      </c>
    </row>
    <row r="60">
      <c r="A60" s="6" t="inlineStr">
        <is>
          <t>カテゴリ</t>
        </is>
      </c>
      <c r="B60" s="29" t="inlineStr">
        <is>
          <t>GBP 合計</t>
        </is>
      </c>
      <c r="C60" s="29" t="inlineStr">
        <is>
          <t>EUR 合計</t>
        </is>
      </c>
      <c r="D60" s="29" t="inlineStr">
        <is>
          <t>JPY 合計</t>
        </is>
      </c>
      <c r="E60" s="29" t="inlineStr">
        <is>
          <t>JPY換算合計</t>
        </is>
      </c>
    </row>
    <row r="61">
      <c r="A61" s="30" t="inlineStr">
        <is>
          <t>Bills</t>
        </is>
      </c>
      <c r="B61" s="31">
        <f>SUMIFS(統合決済履歴!$C$2:$C$198,統合決済履歴!$G$2:$G$198,"Bills",統合決済履歴!$D$2:$D$198,"GBP",統合決済履歴!$F$2:$F$198,"COMPLETED",統合決済履歴!$J$2:$J$198,"除外",統合決済履歴!$K$2:$K$198,"2026-09")</f>
        <v/>
      </c>
      <c r="C61" s="31">
        <f>SUMIFS(統合決済履歴!$C$2:$C$198,統合決済履歴!$G$2:$G$198,"Bills",統合決済履歴!$D$2:$D$198,"EUR",統合決済履歴!$F$2:$F$198,"COMPLETED",統合決済履歴!$J$2:$J$198,"除外",統合決済履歴!$K$2:$K$198,"2026-09")</f>
        <v/>
      </c>
      <c r="D61" s="31">
        <f>SUMIFS(統合決済履歴!$C$2:$C$198,統合決済履歴!$G$2:$G$198,"Bills",統合決済履歴!$D$2:$D$198,"JPY",統合決済履歴!$F$2:$F$198,"COMPLETED",統合決済履歴!$J$2:$J$198,"除外",統合決済履歴!$K$2:$K$198,"2026-09")</f>
        <v/>
      </c>
      <c r="E61" s="32">
        <f>B61*設定!$B$3+C61*設定!$B$4+D61</f>
        <v/>
      </c>
    </row>
    <row r="62">
      <c r="A62" s="30" t="inlineStr">
        <is>
          <t>Eating out</t>
        </is>
      </c>
      <c r="B62" s="31">
        <f>SUMIFS(統合決済履歴!$C$2:$C$198,統合決済履歴!$G$2:$G$198,"Eating out",統合決済履歴!$D$2:$D$198,"GBP",統合決済履歴!$F$2:$F$198,"COMPLETED",統合決済履歴!$J$2:$J$198,"除外",統合決済履歴!$K$2:$K$198,"2026-09")</f>
        <v/>
      </c>
      <c r="C62" s="31">
        <f>SUMIFS(統合決済履歴!$C$2:$C$198,統合決済履歴!$G$2:$G$198,"Eating out",統合決済履歴!$D$2:$D$198,"EUR",統合決済履歴!$F$2:$F$198,"COMPLETED",統合決済履歴!$J$2:$J$198,"除外",統合決済履歴!$K$2:$K$198,"2026-09")</f>
        <v/>
      </c>
      <c r="D62" s="31">
        <f>SUMIFS(統合決済履歴!$C$2:$C$198,統合決済履歴!$G$2:$G$198,"Eating out",統合決済履歴!$D$2:$D$198,"JPY",統合決済履歴!$F$2:$F$198,"COMPLETED",統合決済履歴!$J$2:$J$198,"除外",統合決済履歴!$K$2:$K$198,"2026-09")</f>
        <v/>
      </c>
      <c r="E62" s="32">
        <f>B62*設定!$B$3+C62*設定!$B$4+D62</f>
        <v/>
      </c>
    </row>
    <row r="63">
      <c r="A63" s="30" t="inlineStr">
        <is>
          <t>Entertainment</t>
        </is>
      </c>
      <c r="B63" s="31">
        <f>SUMIFS(統合決済履歴!$C$2:$C$198,統合決済履歴!$G$2:$G$198,"Entertainment",統合決済履歴!$D$2:$D$198,"GBP",統合決済履歴!$F$2:$F$198,"COMPLETED",統合決済履歴!$J$2:$J$198,"除外",統合決済履歴!$K$2:$K$198,"2026-09")</f>
        <v/>
      </c>
      <c r="C63" s="31">
        <f>SUMIFS(統合決済履歴!$C$2:$C$198,統合決済履歴!$G$2:$G$198,"Entertainment",統合決済履歴!$D$2:$D$198,"EUR",統合決済履歴!$F$2:$F$198,"COMPLETED",統合決済履歴!$J$2:$J$198,"除外",統合決済履歴!$K$2:$K$198,"2026-09")</f>
        <v/>
      </c>
      <c r="D63" s="31">
        <f>SUMIFS(統合決済履歴!$C$2:$C$198,統合決済履歴!$G$2:$G$198,"Entertainment",統合決済履歴!$D$2:$D$198,"JPY",統合決済履歴!$F$2:$F$198,"COMPLETED",統合決済履歴!$J$2:$J$198,"除外",統合決済履歴!$K$2:$K$198,"2026-09")</f>
        <v/>
      </c>
      <c r="E63" s="32">
        <f>B63*設定!$B$3+C63*設定!$B$4+D63</f>
        <v/>
      </c>
    </row>
    <row r="64">
      <c r="A64" s="30" t="inlineStr">
        <is>
          <t>Family</t>
        </is>
      </c>
      <c r="B64" s="31">
        <f>SUMIFS(統合決済履歴!$C$2:$C$198,統合決済履歴!$G$2:$G$198,"Family",統合決済履歴!$D$2:$D$198,"GBP",統合決済履歴!$F$2:$F$198,"COMPLETED",統合決済履歴!$J$2:$J$198,"除外",統合決済履歴!$K$2:$K$198,"2026-09")</f>
        <v/>
      </c>
      <c r="C64" s="31">
        <f>SUMIFS(統合決済履歴!$C$2:$C$198,統合決済履歴!$G$2:$G$198,"Family",統合決済履歴!$D$2:$D$198,"EUR",統合決済履歴!$F$2:$F$198,"COMPLETED",統合決済履歴!$J$2:$J$198,"除外",統合決済履歴!$K$2:$K$198,"2026-09")</f>
        <v/>
      </c>
      <c r="D64" s="31">
        <f>SUMIFS(統合決済履歴!$C$2:$C$198,統合決済履歴!$G$2:$G$198,"Family",統合決済履歴!$D$2:$D$198,"JPY",統合決済履歴!$F$2:$F$198,"COMPLETED",統合決済履歴!$J$2:$J$198,"除外",統合決済履歴!$K$2:$K$198,"2026-09")</f>
        <v/>
      </c>
      <c r="E64" s="32">
        <f>B64*設定!$B$3+C64*設定!$B$4+D64</f>
        <v/>
      </c>
    </row>
    <row r="65">
      <c r="A65" s="30" t="inlineStr">
        <is>
          <t>General</t>
        </is>
      </c>
      <c r="B65" s="31">
        <f>SUMIFS(統合決済履歴!$C$2:$C$198,統合決済履歴!$G$2:$G$198,"General",統合決済履歴!$D$2:$D$198,"GBP",統合決済履歴!$F$2:$F$198,"COMPLETED",統合決済履歴!$J$2:$J$198,"除外",統合決済履歴!$K$2:$K$198,"2026-09")</f>
        <v/>
      </c>
      <c r="C65" s="31">
        <f>SUMIFS(統合決済履歴!$C$2:$C$198,統合決済履歴!$G$2:$G$198,"General",統合決済履歴!$D$2:$D$198,"EUR",統合決済履歴!$F$2:$F$198,"COMPLETED",統合決済履歴!$J$2:$J$198,"除外",統合決済履歴!$K$2:$K$198,"2026-09")</f>
        <v/>
      </c>
      <c r="D65" s="31">
        <f>SUMIFS(統合決済履歴!$C$2:$C$198,統合決済履歴!$G$2:$G$198,"General",統合決済履歴!$D$2:$D$198,"JPY",統合決済履歴!$F$2:$F$198,"COMPLETED",統合決済履歴!$J$2:$J$198,"除外",統合決済履歴!$K$2:$K$198,"2026-09")</f>
        <v/>
      </c>
      <c r="E65" s="32">
        <f>B65*設定!$B$3+C65*設定!$B$4+D65</f>
        <v/>
      </c>
    </row>
    <row r="66">
      <c r="A66" s="30" t="inlineStr">
        <is>
          <t>Groceries</t>
        </is>
      </c>
      <c r="B66" s="31">
        <f>SUMIFS(統合決済履歴!$C$2:$C$198,統合決済履歴!$G$2:$G$198,"Groceries",統合決済履歴!$D$2:$D$198,"GBP",統合決済履歴!$F$2:$F$198,"COMPLETED",統合決済履歴!$J$2:$J$198,"除外",統合決済履歴!$K$2:$K$198,"2026-09")</f>
        <v/>
      </c>
      <c r="C66" s="31">
        <f>SUMIFS(統合決済履歴!$C$2:$C$198,統合決済履歴!$G$2:$G$198,"Groceries",統合決済履歴!$D$2:$D$198,"EUR",統合決済履歴!$F$2:$F$198,"COMPLETED",統合決済履歴!$J$2:$J$198,"除外",統合決済履歴!$K$2:$K$198,"2026-09")</f>
        <v/>
      </c>
      <c r="D66" s="31">
        <f>SUMIFS(統合決済履歴!$C$2:$C$198,統合決済履歴!$G$2:$G$198,"Groceries",統合決済履歴!$D$2:$D$198,"JPY",統合決済履歴!$F$2:$F$198,"COMPLETED",統合決済履歴!$J$2:$J$198,"除外",統合決済履歴!$K$2:$K$198,"2026-09")</f>
        <v/>
      </c>
      <c r="E66" s="32">
        <f>B66*設定!$B$3+C66*設定!$B$4+D66</f>
        <v/>
      </c>
    </row>
    <row r="67">
      <c r="A67" s="30" t="inlineStr">
        <is>
          <t>Money added</t>
        </is>
      </c>
      <c r="B67" s="31">
        <f>SUMIFS(統合決済履歴!$C$2:$C$198,統合決済履歴!$G$2:$G$198,"Money added",統合決済履歴!$D$2:$D$198,"GBP",統合決済履歴!$F$2:$F$198,"COMPLETED",統合決済履歴!$J$2:$J$198,"除外",統合決済履歴!$K$2:$K$198,"2026-09")</f>
        <v/>
      </c>
      <c r="C67" s="31">
        <f>SUMIFS(統合決済履歴!$C$2:$C$198,統合決済履歴!$G$2:$G$198,"Money added",統合決済履歴!$D$2:$D$198,"EUR",統合決済履歴!$F$2:$F$198,"COMPLETED",統合決済履歴!$J$2:$J$198,"除外",統合決済履歴!$K$2:$K$198,"2026-09")</f>
        <v/>
      </c>
      <c r="D67" s="31">
        <f>SUMIFS(統合決済履歴!$C$2:$C$198,統合決済履歴!$G$2:$G$198,"Money added",統合決済履歴!$D$2:$D$198,"JPY",統合決済履歴!$F$2:$F$198,"COMPLETED",統合決済履歴!$J$2:$J$198,"除外",統合決済履歴!$K$2:$K$198,"2026-09")</f>
        <v/>
      </c>
      <c r="E67" s="32">
        <f>B67*設定!$B$3+C67*設定!$B$4+D67</f>
        <v/>
      </c>
    </row>
    <row r="68">
      <c r="A68" s="30" t="inlineStr">
        <is>
          <t>Personal care</t>
        </is>
      </c>
      <c r="B68" s="31">
        <f>SUMIFS(統合決済履歴!$C$2:$C$198,統合決済履歴!$G$2:$G$198,"Personal care",統合決済履歴!$D$2:$D$198,"GBP",統合決済履歴!$F$2:$F$198,"COMPLETED",統合決済履歴!$J$2:$J$198,"除外",統合決済履歴!$K$2:$K$198,"2026-09")</f>
        <v/>
      </c>
      <c r="C68" s="31">
        <f>SUMIFS(統合決済履歴!$C$2:$C$198,統合決済履歴!$G$2:$G$198,"Personal care",統合決済履歴!$D$2:$D$198,"EUR",統合決済履歴!$F$2:$F$198,"COMPLETED",統合決済履歴!$J$2:$J$198,"除外",統合決済履歴!$K$2:$K$198,"2026-09")</f>
        <v/>
      </c>
      <c r="D68" s="31">
        <f>SUMIFS(統合決済履歴!$C$2:$C$198,統合決済履歴!$G$2:$G$198,"Personal care",統合決済履歴!$D$2:$D$198,"JPY",統合決済履歴!$F$2:$F$198,"COMPLETED",統合決済履歴!$J$2:$J$198,"除外",統合決済履歴!$K$2:$K$198,"2026-09")</f>
        <v/>
      </c>
      <c r="E68" s="32">
        <f>B68*設定!$B$3+C68*設定!$B$4+D68</f>
        <v/>
      </c>
    </row>
    <row r="69">
      <c r="A69" s="30" t="inlineStr">
        <is>
          <t>Shopping</t>
        </is>
      </c>
      <c r="B69" s="31">
        <f>SUMIFS(統合決済履歴!$C$2:$C$198,統合決済履歴!$G$2:$G$198,"Shopping",統合決済履歴!$D$2:$D$198,"GBP",統合決済履歴!$F$2:$F$198,"COMPLETED",統合決済履歴!$J$2:$J$198,"除外",統合決済履歴!$K$2:$K$198,"2026-09")</f>
        <v/>
      </c>
      <c r="C69" s="31">
        <f>SUMIFS(統合決済履歴!$C$2:$C$198,統合決済履歴!$G$2:$G$198,"Shopping",統合決済履歴!$D$2:$D$198,"EUR",統合決済履歴!$F$2:$F$198,"COMPLETED",統合決済履歴!$J$2:$J$198,"除外",統合決済履歴!$K$2:$K$198,"2026-09")</f>
        <v/>
      </c>
      <c r="D69" s="31">
        <f>SUMIFS(統合決済履歴!$C$2:$C$198,統合決済履歴!$G$2:$G$198,"Shopping",統合決済履歴!$D$2:$D$198,"JPY",統合決済履歴!$F$2:$F$198,"COMPLETED",統合決済履歴!$J$2:$J$198,"除外",統合決済履歴!$K$2:$K$198,"2026-09")</f>
        <v/>
      </c>
      <c r="E69" s="32">
        <f>B69*設定!$B$3+C69*設定!$B$4+D69</f>
        <v/>
      </c>
    </row>
    <row r="70">
      <c r="A70" s="30" t="inlineStr">
        <is>
          <t>Transport</t>
        </is>
      </c>
      <c r="B70" s="31">
        <f>SUMIFS(統合決済履歴!$C$2:$C$198,統合決済履歴!$G$2:$G$198,"Transport",統合決済履歴!$D$2:$D$198,"GBP",統合決済履歴!$F$2:$F$198,"COMPLETED",統合決済履歴!$J$2:$J$198,"除外",統合決済履歴!$K$2:$K$198,"2026-09")</f>
        <v/>
      </c>
      <c r="C70" s="31">
        <f>SUMIFS(統合決済履歴!$C$2:$C$198,統合決済履歴!$G$2:$G$198,"Transport",統合決済履歴!$D$2:$D$198,"EUR",統合決済履歴!$F$2:$F$198,"COMPLETED",統合決済履歴!$J$2:$J$198,"除外",統合決済履歴!$K$2:$K$198,"2026-09")</f>
        <v/>
      </c>
      <c r="D70" s="31">
        <f>SUMIFS(統合決済履歴!$C$2:$C$198,統合決済履歴!$G$2:$G$198,"Transport",統合決済履歴!$D$2:$D$198,"JPY",統合決済履歴!$F$2:$F$198,"COMPLETED",統合決済履歴!$J$2:$J$198,"除外",統合決済履歴!$K$2:$K$198,"2026-09")</f>
        <v/>
      </c>
      <c r="E70" s="32">
        <f>B70*設定!$B$3+C70*設定!$B$4+D70</f>
        <v/>
      </c>
    </row>
    <row r="71">
      <c r="A71" s="36" t="inlineStr">
        <is>
          <t>合計</t>
        </is>
      </c>
      <c r="B71" s="37">
        <f>SUM(B61:B70)</f>
        <v/>
      </c>
      <c r="C71" s="37">
        <f>SUM(C61:C70)</f>
        <v/>
      </c>
      <c r="D71" s="37">
        <f>SUM(D61:D70)</f>
        <v/>
      </c>
      <c r="E71" s="38">
        <f>SUM(E61:E70)</f>
        <v/>
      </c>
    </row>
    <row r="74">
      <c r="A74" s="28" t="inlineStr">
        <is>
          <t>2026年8月</t>
        </is>
      </c>
    </row>
    <row r="76">
      <c r="A76" s="1" t="inlineStr">
        <is>
          <t>■ 聖也</t>
        </is>
      </c>
    </row>
    <row r="77">
      <c r="A77" s="6" t="inlineStr">
        <is>
          <t>カテゴリ</t>
        </is>
      </c>
      <c r="B77" s="29" t="inlineStr">
        <is>
          <t>GBP 合計</t>
        </is>
      </c>
      <c r="C77" s="29" t="inlineStr">
        <is>
          <t>EUR 合計</t>
        </is>
      </c>
      <c r="D77" s="29" t="inlineStr">
        <is>
          <t>JPY 合計</t>
        </is>
      </c>
      <c r="E77" s="29" t="inlineStr">
        <is>
          <t>JPY換算合計</t>
        </is>
      </c>
    </row>
    <row r="78">
      <c r="A78" s="30" t="inlineStr">
        <is>
          <t>Bills</t>
        </is>
      </c>
      <c r="B78" s="31">
        <f>SUMIFS(統合決済履歴!$C$2:$C$198,統合決済履歴!$G$2:$G$198,"Bills",統合決済履歴!$D$2:$D$198,"GBP",統合決済履歴!$F$2:$F$198,"COMPLETED",統合決済履歴!$J$2:$J$198,"聖也",統合決済履歴!$K$2:$K$198,"2026-08")</f>
        <v/>
      </c>
      <c r="C78" s="31">
        <f>SUMIFS(統合決済履歴!$C$2:$C$198,統合決済履歴!$G$2:$G$198,"Bills",統合決済履歴!$D$2:$D$198,"EUR",統合決済履歴!$F$2:$F$198,"COMPLETED",統合決済履歴!$J$2:$J$198,"聖也",統合決済履歴!$K$2:$K$198,"2026-08")</f>
        <v/>
      </c>
      <c r="D78" s="31">
        <f>SUMIFS(統合決済履歴!$C$2:$C$198,統合決済履歴!$G$2:$G$198,"Bills",統合決済履歴!$D$2:$D$198,"JPY",統合決済履歴!$F$2:$F$198,"COMPLETED",統合決済履歴!$J$2:$J$198,"聖也",統合決済履歴!$K$2:$K$198,"2026-08")</f>
        <v/>
      </c>
      <c r="E78" s="32">
        <f>B78*設定!$B$3+C78*設定!$B$4+D78</f>
        <v/>
      </c>
    </row>
    <row r="79">
      <c r="A79" s="30" t="inlineStr">
        <is>
          <t>Eating out</t>
        </is>
      </c>
      <c r="B79" s="31">
        <f>SUMIFS(統合決済履歴!$C$2:$C$198,統合決済履歴!$G$2:$G$198,"Eating out",統合決済履歴!$D$2:$D$198,"GBP",統合決済履歴!$F$2:$F$198,"COMPLETED",統合決済履歴!$J$2:$J$198,"聖也",統合決済履歴!$K$2:$K$198,"2026-08")</f>
        <v/>
      </c>
      <c r="C79" s="31">
        <f>SUMIFS(統合決済履歴!$C$2:$C$198,統合決済履歴!$G$2:$G$198,"Eating out",統合決済履歴!$D$2:$D$198,"EUR",統合決済履歴!$F$2:$F$198,"COMPLETED",統合決済履歴!$J$2:$J$198,"聖也",統合決済履歴!$K$2:$K$198,"2026-08")</f>
        <v/>
      </c>
      <c r="D79" s="31">
        <f>SUMIFS(統合決済履歴!$C$2:$C$198,統合決済履歴!$G$2:$G$198,"Eating out",統合決済履歴!$D$2:$D$198,"JPY",統合決済履歴!$F$2:$F$198,"COMPLETED",統合決済履歴!$J$2:$J$198,"聖也",統合決済履歴!$K$2:$K$198,"2026-08")</f>
        <v/>
      </c>
      <c r="E79" s="32">
        <f>B79*設定!$B$3+C79*設定!$B$4+D79</f>
        <v/>
      </c>
    </row>
    <row r="80">
      <c r="A80" s="30" t="inlineStr">
        <is>
          <t>Entertainment</t>
        </is>
      </c>
      <c r="B80" s="31">
        <f>SUMIFS(統合決済履歴!$C$2:$C$198,統合決済履歴!$G$2:$G$198,"Entertainment",統合決済履歴!$D$2:$D$198,"GBP",統合決済履歴!$F$2:$F$198,"COMPLETED",統合決済履歴!$J$2:$J$198,"聖也",統合決済履歴!$K$2:$K$198,"2026-08")</f>
        <v/>
      </c>
      <c r="C80" s="31">
        <f>SUMIFS(統合決済履歴!$C$2:$C$198,統合決済履歴!$G$2:$G$198,"Entertainment",統合決済履歴!$D$2:$D$198,"EUR",統合決済履歴!$F$2:$F$198,"COMPLETED",統合決済履歴!$J$2:$J$198,"聖也",統合決済履歴!$K$2:$K$198,"2026-08")</f>
        <v/>
      </c>
      <c r="D80" s="31">
        <f>SUMIFS(統合決済履歴!$C$2:$C$198,統合決済履歴!$G$2:$G$198,"Entertainment",統合決済履歴!$D$2:$D$198,"JPY",統合決済履歴!$F$2:$F$198,"COMPLETED",統合決済履歴!$J$2:$J$198,"聖也",統合決済履歴!$K$2:$K$198,"2026-08")</f>
        <v/>
      </c>
      <c r="E80" s="32">
        <f>B80*設定!$B$3+C80*設定!$B$4+D80</f>
        <v/>
      </c>
    </row>
    <row r="81">
      <c r="A81" s="30" t="inlineStr">
        <is>
          <t>Family</t>
        </is>
      </c>
      <c r="B81" s="31">
        <f>SUMIFS(統合決済履歴!$C$2:$C$198,統合決済履歴!$G$2:$G$198,"Family",統合決済履歴!$D$2:$D$198,"GBP",統合決済履歴!$F$2:$F$198,"COMPLETED",統合決済履歴!$J$2:$J$198,"聖也",統合決済履歴!$K$2:$K$198,"2026-08")</f>
        <v/>
      </c>
      <c r="C81" s="31">
        <f>SUMIFS(統合決済履歴!$C$2:$C$198,統合決済履歴!$G$2:$G$198,"Family",統合決済履歴!$D$2:$D$198,"EUR",統合決済履歴!$F$2:$F$198,"COMPLETED",統合決済履歴!$J$2:$J$198,"聖也",統合決済履歴!$K$2:$K$198,"2026-08")</f>
        <v/>
      </c>
      <c r="D81" s="31">
        <f>SUMIFS(統合決済履歴!$C$2:$C$198,統合決済履歴!$G$2:$G$198,"Family",統合決済履歴!$D$2:$D$198,"JPY",統合決済履歴!$F$2:$F$198,"COMPLETED",統合決済履歴!$J$2:$J$198,"聖也",統合決済履歴!$K$2:$K$198,"2026-08")</f>
        <v/>
      </c>
      <c r="E81" s="32">
        <f>B81*設定!$B$3+C81*設定!$B$4+D81</f>
        <v/>
      </c>
    </row>
    <row r="82">
      <c r="A82" s="30" t="inlineStr">
        <is>
          <t>General</t>
        </is>
      </c>
      <c r="B82" s="31">
        <f>SUMIFS(統合決済履歴!$C$2:$C$198,統合決済履歴!$G$2:$G$198,"General",統合決済履歴!$D$2:$D$198,"GBP",統合決済履歴!$F$2:$F$198,"COMPLETED",統合決済履歴!$J$2:$J$198,"聖也",統合決済履歴!$K$2:$K$198,"2026-08")</f>
        <v/>
      </c>
      <c r="C82" s="31">
        <f>SUMIFS(統合決済履歴!$C$2:$C$198,統合決済履歴!$G$2:$G$198,"General",統合決済履歴!$D$2:$D$198,"EUR",統合決済履歴!$F$2:$F$198,"COMPLETED",統合決済履歴!$J$2:$J$198,"聖也",統合決済履歴!$K$2:$K$198,"2026-08")</f>
        <v/>
      </c>
      <c r="D82" s="31">
        <f>SUMIFS(統合決済履歴!$C$2:$C$198,統合決済履歴!$G$2:$G$198,"General",統合決済履歴!$D$2:$D$198,"JPY",統合決済履歴!$F$2:$F$198,"COMPLETED",統合決済履歴!$J$2:$J$198,"聖也",統合決済履歴!$K$2:$K$198,"2026-08")</f>
        <v/>
      </c>
      <c r="E82" s="32">
        <f>B82*設定!$B$3+C82*設定!$B$4+D82</f>
        <v/>
      </c>
    </row>
    <row r="83">
      <c r="A83" s="30" t="inlineStr">
        <is>
          <t>Groceries</t>
        </is>
      </c>
      <c r="B83" s="31">
        <f>SUMIFS(統合決済履歴!$C$2:$C$198,統合決済履歴!$G$2:$G$198,"Groceries",統合決済履歴!$D$2:$D$198,"GBP",統合決済履歴!$F$2:$F$198,"COMPLETED",統合決済履歴!$J$2:$J$198,"聖也",統合決済履歴!$K$2:$K$198,"2026-08")</f>
        <v/>
      </c>
      <c r="C83" s="31">
        <f>SUMIFS(統合決済履歴!$C$2:$C$198,統合決済履歴!$G$2:$G$198,"Groceries",統合決済履歴!$D$2:$D$198,"EUR",統合決済履歴!$F$2:$F$198,"COMPLETED",統合決済履歴!$J$2:$J$198,"聖也",統合決済履歴!$K$2:$K$198,"2026-08")</f>
        <v/>
      </c>
      <c r="D83" s="31">
        <f>SUMIFS(統合決済履歴!$C$2:$C$198,統合決済履歴!$G$2:$G$198,"Groceries",統合決済履歴!$D$2:$D$198,"JPY",統合決済履歴!$F$2:$F$198,"COMPLETED",統合決済履歴!$J$2:$J$198,"聖也",統合決済履歴!$K$2:$K$198,"2026-08")</f>
        <v/>
      </c>
      <c r="E83" s="32">
        <f>B83*設定!$B$3+C83*設定!$B$4+D83</f>
        <v/>
      </c>
    </row>
    <row r="84">
      <c r="A84" s="30" t="inlineStr">
        <is>
          <t>Money added</t>
        </is>
      </c>
      <c r="B84" s="31">
        <f>SUMIFS(統合決済履歴!$C$2:$C$198,統合決済履歴!$G$2:$G$198,"Money added",統合決済履歴!$D$2:$D$198,"GBP",統合決済履歴!$F$2:$F$198,"COMPLETED",統合決済履歴!$J$2:$J$198,"聖也",統合決済履歴!$K$2:$K$198,"2026-08")</f>
        <v/>
      </c>
      <c r="C84" s="31">
        <f>SUMIFS(統合決済履歴!$C$2:$C$198,統合決済履歴!$G$2:$G$198,"Money added",統合決済履歴!$D$2:$D$198,"EUR",統合決済履歴!$F$2:$F$198,"COMPLETED",統合決済履歴!$J$2:$J$198,"聖也",統合決済履歴!$K$2:$K$198,"2026-08")</f>
        <v/>
      </c>
      <c r="D84" s="31">
        <f>SUMIFS(統合決済履歴!$C$2:$C$198,統合決済履歴!$G$2:$G$198,"Money added",統合決済履歴!$D$2:$D$198,"JPY",統合決済履歴!$F$2:$F$198,"COMPLETED",統合決済履歴!$J$2:$J$198,"聖也",統合決済履歴!$K$2:$K$198,"2026-08")</f>
        <v/>
      </c>
      <c r="E84" s="32">
        <f>B84*設定!$B$3+C84*設定!$B$4+D84</f>
        <v/>
      </c>
    </row>
    <row r="85">
      <c r="A85" s="30" t="inlineStr">
        <is>
          <t>Personal care</t>
        </is>
      </c>
      <c r="B85" s="31">
        <f>SUMIFS(統合決済履歴!$C$2:$C$198,統合決済履歴!$G$2:$G$198,"Personal care",統合決済履歴!$D$2:$D$198,"GBP",統合決済履歴!$F$2:$F$198,"COMPLETED",統合決済履歴!$J$2:$J$198,"聖也",統合決済履歴!$K$2:$K$198,"2026-08")</f>
        <v/>
      </c>
      <c r="C85" s="31">
        <f>SUMIFS(統合決済履歴!$C$2:$C$198,統合決済履歴!$G$2:$G$198,"Personal care",統合決済履歴!$D$2:$D$198,"EUR",統合決済履歴!$F$2:$F$198,"COMPLETED",統合決済履歴!$J$2:$J$198,"聖也",統合決済履歴!$K$2:$K$198,"2026-08")</f>
        <v/>
      </c>
      <c r="D85" s="31">
        <f>SUMIFS(統合決済履歴!$C$2:$C$198,統合決済履歴!$G$2:$G$198,"Personal care",統合決済履歴!$D$2:$D$198,"JPY",統合決済履歴!$F$2:$F$198,"COMPLETED",統合決済履歴!$J$2:$J$198,"聖也",統合決済履歴!$K$2:$K$198,"2026-08")</f>
        <v/>
      </c>
      <c r="E85" s="32">
        <f>B85*設定!$B$3+C85*設定!$B$4+D85</f>
        <v/>
      </c>
    </row>
    <row r="86">
      <c r="A86" s="30" t="inlineStr">
        <is>
          <t>Shopping</t>
        </is>
      </c>
      <c r="B86" s="31">
        <f>SUMIFS(統合決済履歴!$C$2:$C$198,統合決済履歴!$G$2:$G$198,"Shopping",統合決済履歴!$D$2:$D$198,"GBP",統合決済履歴!$F$2:$F$198,"COMPLETED",統合決済履歴!$J$2:$J$198,"聖也",統合決済履歴!$K$2:$K$198,"2026-08")</f>
        <v/>
      </c>
      <c r="C86" s="31">
        <f>SUMIFS(統合決済履歴!$C$2:$C$198,統合決済履歴!$G$2:$G$198,"Shopping",統合決済履歴!$D$2:$D$198,"EUR",統合決済履歴!$F$2:$F$198,"COMPLETED",統合決済履歴!$J$2:$J$198,"聖也",統合決済履歴!$K$2:$K$198,"2026-08")</f>
        <v/>
      </c>
      <c r="D86" s="31">
        <f>SUMIFS(統合決済履歴!$C$2:$C$198,統合決済履歴!$G$2:$G$198,"Shopping",統合決済履歴!$D$2:$D$198,"JPY",統合決済履歴!$F$2:$F$198,"COMPLETED",統合決済履歴!$J$2:$J$198,"聖也",統合決済履歴!$K$2:$K$198,"2026-08")</f>
        <v/>
      </c>
      <c r="E86" s="32">
        <f>B86*設定!$B$3+C86*設定!$B$4+D86</f>
        <v/>
      </c>
    </row>
    <row r="87">
      <c r="A87" s="30" t="inlineStr">
        <is>
          <t>Transport</t>
        </is>
      </c>
      <c r="B87" s="31">
        <f>SUMIFS(統合決済履歴!$C$2:$C$198,統合決済履歴!$G$2:$G$198,"Transport",統合決済履歴!$D$2:$D$198,"GBP",統合決済履歴!$F$2:$F$198,"COMPLETED",統合決済履歴!$J$2:$J$198,"聖也",統合決済履歴!$K$2:$K$198,"2026-08")</f>
        <v/>
      </c>
      <c r="C87" s="31">
        <f>SUMIFS(統合決済履歴!$C$2:$C$198,統合決済履歴!$G$2:$G$198,"Transport",統合決済履歴!$D$2:$D$198,"EUR",統合決済履歴!$F$2:$F$198,"COMPLETED",統合決済履歴!$J$2:$J$198,"聖也",統合決済履歴!$K$2:$K$198,"2026-08")</f>
        <v/>
      </c>
      <c r="D87" s="31">
        <f>SUMIFS(統合決済履歴!$C$2:$C$198,統合決済履歴!$G$2:$G$198,"Transport",統合決済履歴!$D$2:$D$198,"JPY",統合決済履歴!$F$2:$F$198,"COMPLETED",統合決済履歴!$J$2:$J$198,"聖也",統合決済履歴!$K$2:$K$198,"2026-08")</f>
        <v/>
      </c>
      <c r="E87" s="32">
        <f>B87*設定!$B$3+C87*設定!$B$4+D87</f>
        <v/>
      </c>
    </row>
    <row r="88">
      <c r="A88" s="36" t="inlineStr">
        <is>
          <t>合計</t>
        </is>
      </c>
      <c r="B88" s="37">
        <f>SUM(B78:B87)</f>
        <v/>
      </c>
      <c r="C88" s="37">
        <f>SUM(C78:C87)</f>
        <v/>
      </c>
      <c r="D88" s="37">
        <f>SUM(D78:D87)</f>
        <v/>
      </c>
      <c r="E88" s="38">
        <f>SUM(E78:E87)</f>
        <v/>
      </c>
    </row>
    <row r="90">
      <c r="A90" s="1" t="inlineStr">
        <is>
          <t>■ 愛弓</t>
        </is>
      </c>
    </row>
    <row r="91">
      <c r="A91" s="6" t="inlineStr">
        <is>
          <t>カテゴリ</t>
        </is>
      </c>
      <c r="B91" s="29" t="inlineStr">
        <is>
          <t>GBP 合計</t>
        </is>
      </c>
      <c r="C91" s="29" t="inlineStr">
        <is>
          <t>EUR 合計</t>
        </is>
      </c>
      <c r="D91" s="29" t="inlineStr">
        <is>
          <t>JPY 合計</t>
        </is>
      </c>
      <c r="E91" s="29" t="inlineStr">
        <is>
          <t>JPY換算合計</t>
        </is>
      </c>
    </row>
    <row r="92">
      <c r="A92" s="30" t="inlineStr">
        <is>
          <t>Bills</t>
        </is>
      </c>
      <c r="B92" s="31">
        <f>SUMIFS(統合決済履歴!$C$2:$C$198,統合決済履歴!$G$2:$G$198,"Bills",統合決済履歴!$D$2:$D$198,"GBP",統合決済履歴!$F$2:$F$198,"COMPLETED",統合決済履歴!$J$2:$J$198,"愛弓",統合決済履歴!$K$2:$K$198,"2026-08")</f>
        <v/>
      </c>
      <c r="C92" s="31">
        <f>SUMIFS(統合決済履歴!$C$2:$C$198,統合決済履歴!$G$2:$G$198,"Bills",統合決済履歴!$D$2:$D$198,"EUR",統合決済履歴!$F$2:$F$198,"COMPLETED",統合決済履歴!$J$2:$J$198,"愛弓",統合決済履歴!$K$2:$K$198,"2026-08")</f>
        <v/>
      </c>
      <c r="D92" s="31">
        <f>SUMIFS(統合決済履歴!$C$2:$C$198,統合決済履歴!$G$2:$G$198,"Bills",統合決済履歴!$D$2:$D$198,"JPY",統合決済履歴!$F$2:$F$198,"COMPLETED",統合決済履歴!$J$2:$J$198,"愛弓",統合決済履歴!$K$2:$K$198,"2026-08")</f>
        <v/>
      </c>
      <c r="E92" s="32">
        <f>B92*設定!$B$3+C92*設定!$B$4+D92</f>
        <v/>
      </c>
    </row>
    <row r="93">
      <c r="A93" s="30" t="inlineStr">
        <is>
          <t>Eating out</t>
        </is>
      </c>
      <c r="B93" s="31">
        <f>SUMIFS(統合決済履歴!$C$2:$C$198,統合決済履歴!$G$2:$G$198,"Eating out",統合決済履歴!$D$2:$D$198,"GBP",統合決済履歴!$F$2:$F$198,"COMPLETED",統合決済履歴!$J$2:$J$198,"愛弓",統合決済履歴!$K$2:$K$198,"2026-08")</f>
        <v/>
      </c>
      <c r="C93" s="31">
        <f>SUMIFS(統合決済履歴!$C$2:$C$198,統合決済履歴!$G$2:$G$198,"Eating out",統合決済履歴!$D$2:$D$198,"EUR",統合決済履歴!$F$2:$F$198,"COMPLETED",統合決済履歴!$J$2:$J$198,"愛弓",統合決済履歴!$K$2:$K$198,"2026-08")</f>
        <v/>
      </c>
      <c r="D93" s="31">
        <f>SUMIFS(統合決済履歴!$C$2:$C$198,統合決済履歴!$G$2:$G$198,"Eating out",統合決済履歴!$D$2:$D$198,"JPY",統合決済履歴!$F$2:$F$198,"COMPLETED",統合決済履歴!$J$2:$J$198,"愛弓",統合決済履歴!$K$2:$K$198,"2026-08")</f>
        <v/>
      </c>
      <c r="E93" s="32">
        <f>B93*設定!$B$3+C93*設定!$B$4+D93</f>
        <v/>
      </c>
    </row>
    <row r="94">
      <c r="A94" s="30" t="inlineStr">
        <is>
          <t>Entertainment</t>
        </is>
      </c>
      <c r="B94" s="31">
        <f>SUMIFS(統合決済履歴!$C$2:$C$198,統合決済履歴!$G$2:$G$198,"Entertainment",統合決済履歴!$D$2:$D$198,"GBP",統合決済履歴!$F$2:$F$198,"COMPLETED",統合決済履歴!$J$2:$J$198,"愛弓",統合決済履歴!$K$2:$K$198,"2026-08")</f>
        <v/>
      </c>
      <c r="C94" s="31">
        <f>SUMIFS(統合決済履歴!$C$2:$C$198,統合決済履歴!$G$2:$G$198,"Entertainment",統合決済履歴!$D$2:$D$198,"EUR",統合決済履歴!$F$2:$F$198,"COMPLETED",統合決済履歴!$J$2:$J$198,"愛弓",統合決済履歴!$K$2:$K$198,"2026-08")</f>
        <v/>
      </c>
      <c r="D94" s="31">
        <f>SUMIFS(統合決済履歴!$C$2:$C$198,統合決済履歴!$G$2:$G$198,"Entertainment",統合決済履歴!$D$2:$D$198,"JPY",統合決済履歴!$F$2:$F$198,"COMPLETED",統合決済履歴!$J$2:$J$198,"愛弓",統合決済履歴!$K$2:$K$198,"2026-08")</f>
        <v/>
      </c>
      <c r="E94" s="32">
        <f>B94*設定!$B$3+C94*設定!$B$4+D94</f>
        <v/>
      </c>
    </row>
    <row r="95">
      <c r="A95" s="30" t="inlineStr">
        <is>
          <t>Family</t>
        </is>
      </c>
      <c r="B95" s="31">
        <f>SUMIFS(統合決済履歴!$C$2:$C$198,統合決済履歴!$G$2:$G$198,"Family",統合決済履歴!$D$2:$D$198,"GBP",統合決済履歴!$F$2:$F$198,"COMPLETED",統合決済履歴!$J$2:$J$198,"愛弓",統合決済履歴!$K$2:$K$198,"2026-08")</f>
        <v/>
      </c>
      <c r="C95" s="31">
        <f>SUMIFS(統合決済履歴!$C$2:$C$198,統合決済履歴!$G$2:$G$198,"Family",統合決済履歴!$D$2:$D$198,"EUR",統合決済履歴!$F$2:$F$198,"COMPLETED",統合決済履歴!$J$2:$J$198,"愛弓",統合決済履歴!$K$2:$K$198,"2026-08")</f>
        <v/>
      </c>
      <c r="D95" s="31">
        <f>SUMIFS(統合決済履歴!$C$2:$C$198,統合決済履歴!$G$2:$G$198,"Family",統合決済履歴!$D$2:$D$198,"JPY",統合決済履歴!$F$2:$F$198,"COMPLETED",統合決済履歴!$J$2:$J$198,"愛弓",統合決済履歴!$K$2:$K$198,"2026-08")</f>
        <v/>
      </c>
      <c r="E95" s="32">
        <f>B95*設定!$B$3+C95*設定!$B$4+D95</f>
        <v/>
      </c>
    </row>
    <row r="96">
      <c r="A96" s="30" t="inlineStr">
        <is>
          <t>General</t>
        </is>
      </c>
      <c r="B96" s="31">
        <f>SUMIFS(統合決済履歴!$C$2:$C$198,統合決済履歴!$G$2:$G$198,"General",統合決済履歴!$D$2:$D$198,"GBP",統合決済履歴!$F$2:$F$198,"COMPLETED",統合決済履歴!$J$2:$J$198,"愛弓",統合決済履歴!$K$2:$K$198,"2026-08")</f>
        <v/>
      </c>
      <c r="C96" s="31">
        <f>SUMIFS(統合決済履歴!$C$2:$C$198,統合決済履歴!$G$2:$G$198,"General",統合決済履歴!$D$2:$D$198,"EUR",統合決済履歴!$F$2:$F$198,"COMPLETED",統合決済履歴!$J$2:$J$198,"愛弓",統合決済履歴!$K$2:$K$198,"2026-08")</f>
        <v/>
      </c>
      <c r="D96" s="31">
        <f>SUMIFS(統合決済履歴!$C$2:$C$198,統合決済履歴!$G$2:$G$198,"General",統合決済履歴!$D$2:$D$198,"JPY",統合決済履歴!$F$2:$F$198,"COMPLETED",統合決済履歴!$J$2:$J$198,"愛弓",統合決済履歴!$K$2:$K$198,"2026-08")</f>
        <v/>
      </c>
      <c r="E96" s="32">
        <f>B96*設定!$B$3+C96*設定!$B$4+D96</f>
        <v/>
      </c>
    </row>
    <row r="97">
      <c r="A97" s="30" t="inlineStr">
        <is>
          <t>Groceries</t>
        </is>
      </c>
      <c r="B97" s="31">
        <f>SUMIFS(統合決済履歴!$C$2:$C$198,統合決済履歴!$G$2:$G$198,"Groceries",統合決済履歴!$D$2:$D$198,"GBP",統合決済履歴!$F$2:$F$198,"COMPLETED",統合決済履歴!$J$2:$J$198,"愛弓",統合決済履歴!$K$2:$K$198,"2026-08")</f>
        <v/>
      </c>
      <c r="C97" s="31">
        <f>SUMIFS(統合決済履歴!$C$2:$C$198,統合決済履歴!$G$2:$G$198,"Groceries",統合決済履歴!$D$2:$D$198,"EUR",統合決済履歴!$F$2:$F$198,"COMPLETED",統合決済履歴!$J$2:$J$198,"愛弓",統合決済履歴!$K$2:$K$198,"2026-08")</f>
        <v/>
      </c>
      <c r="D97" s="31">
        <f>SUMIFS(統合決済履歴!$C$2:$C$198,統合決済履歴!$G$2:$G$198,"Groceries",統合決済履歴!$D$2:$D$198,"JPY",統合決済履歴!$F$2:$F$198,"COMPLETED",統合決済履歴!$J$2:$J$198,"愛弓",統合決済履歴!$K$2:$K$198,"2026-08")</f>
        <v/>
      </c>
      <c r="E97" s="32">
        <f>B97*設定!$B$3+C97*設定!$B$4+D97</f>
        <v/>
      </c>
    </row>
    <row r="98">
      <c r="A98" s="30" t="inlineStr">
        <is>
          <t>Money added</t>
        </is>
      </c>
      <c r="B98" s="31">
        <f>SUMIFS(統合決済履歴!$C$2:$C$198,統合決済履歴!$G$2:$G$198,"Money added",統合決済履歴!$D$2:$D$198,"GBP",統合決済履歴!$F$2:$F$198,"COMPLETED",統合決済履歴!$J$2:$J$198,"愛弓",統合決済履歴!$K$2:$K$198,"2026-08")</f>
        <v/>
      </c>
      <c r="C98" s="31">
        <f>SUMIFS(統合決済履歴!$C$2:$C$198,統合決済履歴!$G$2:$G$198,"Money added",統合決済履歴!$D$2:$D$198,"EUR",統合決済履歴!$F$2:$F$198,"COMPLETED",統合決済履歴!$J$2:$J$198,"愛弓",統合決済履歴!$K$2:$K$198,"2026-08")</f>
        <v/>
      </c>
      <c r="D98" s="31">
        <f>SUMIFS(統合決済履歴!$C$2:$C$198,統合決済履歴!$G$2:$G$198,"Money added",統合決済履歴!$D$2:$D$198,"JPY",統合決済履歴!$F$2:$F$198,"COMPLETED",統合決済履歴!$J$2:$J$198,"愛弓",統合決済履歴!$K$2:$K$198,"2026-08")</f>
        <v/>
      </c>
      <c r="E98" s="32">
        <f>B98*設定!$B$3+C98*設定!$B$4+D98</f>
        <v/>
      </c>
    </row>
    <row r="99">
      <c r="A99" s="30" t="inlineStr">
        <is>
          <t>Personal care</t>
        </is>
      </c>
      <c r="B99" s="31">
        <f>SUMIFS(統合決済履歴!$C$2:$C$198,統合決済履歴!$G$2:$G$198,"Personal care",統合決済履歴!$D$2:$D$198,"GBP",統合決済履歴!$F$2:$F$198,"COMPLETED",統合決済履歴!$J$2:$J$198,"愛弓",統合決済履歴!$K$2:$K$198,"2026-08")</f>
        <v/>
      </c>
      <c r="C99" s="31">
        <f>SUMIFS(統合決済履歴!$C$2:$C$198,統合決済履歴!$G$2:$G$198,"Personal care",統合決済履歴!$D$2:$D$198,"EUR",統合決済履歴!$F$2:$F$198,"COMPLETED",統合決済履歴!$J$2:$J$198,"愛弓",統合決済履歴!$K$2:$K$198,"2026-08")</f>
        <v/>
      </c>
      <c r="D99" s="31">
        <f>SUMIFS(統合決済履歴!$C$2:$C$198,統合決済履歴!$G$2:$G$198,"Personal care",統合決済履歴!$D$2:$D$198,"JPY",統合決済履歴!$F$2:$F$198,"COMPLETED",統合決済履歴!$J$2:$J$198,"愛弓",統合決済履歴!$K$2:$K$198,"2026-08")</f>
        <v/>
      </c>
      <c r="E99" s="32">
        <f>B99*設定!$B$3+C99*設定!$B$4+D99</f>
        <v/>
      </c>
    </row>
    <row r="100">
      <c r="A100" s="30" t="inlineStr">
        <is>
          <t>Shopping</t>
        </is>
      </c>
      <c r="B100" s="31">
        <f>SUMIFS(統合決済履歴!$C$2:$C$198,統合決済履歴!$G$2:$G$198,"Shopping",統合決済履歴!$D$2:$D$198,"GBP",統合決済履歴!$F$2:$F$198,"COMPLETED",統合決済履歴!$J$2:$J$198,"愛弓",統合決済履歴!$K$2:$K$198,"2026-08")</f>
        <v/>
      </c>
      <c r="C100" s="31">
        <f>SUMIFS(統合決済履歴!$C$2:$C$198,統合決済履歴!$G$2:$G$198,"Shopping",統合決済履歴!$D$2:$D$198,"EUR",統合決済履歴!$F$2:$F$198,"COMPLETED",統合決済履歴!$J$2:$J$198,"愛弓",統合決済履歴!$K$2:$K$198,"2026-08")</f>
        <v/>
      </c>
      <c r="D100" s="31">
        <f>SUMIFS(統合決済履歴!$C$2:$C$198,統合決済履歴!$G$2:$G$198,"Shopping",統合決済履歴!$D$2:$D$198,"JPY",統合決済履歴!$F$2:$F$198,"COMPLETED",統合決済履歴!$J$2:$J$198,"愛弓",統合決済履歴!$K$2:$K$198,"2026-08")</f>
        <v/>
      </c>
      <c r="E100" s="32">
        <f>B100*設定!$B$3+C100*設定!$B$4+D100</f>
        <v/>
      </c>
    </row>
    <row r="101">
      <c r="A101" s="30" t="inlineStr">
        <is>
          <t>Transport</t>
        </is>
      </c>
      <c r="B101" s="31">
        <f>SUMIFS(統合決済履歴!$C$2:$C$198,統合決済履歴!$G$2:$G$198,"Transport",統合決済履歴!$D$2:$D$198,"GBP",統合決済履歴!$F$2:$F$198,"COMPLETED",統合決済履歴!$J$2:$J$198,"愛弓",統合決済履歴!$K$2:$K$198,"2026-08")</f>
        <v/>
      </c>
      <c r="C101" s="31">
        <f>SUMIFS(統合決済履歴!$C$2:$C$198,統合決済履歴!$G$2:$G$198,"Transport",統合決済履歴!$D$2:$D$198,"EUR",統合決済履歴!$F$2:$F$198,"COMPLETED",統合決済履歴!$J$2:$J$198,"愛弓",統合決済履歴!$K$2:$K$198,"2026-08")</f>
        <v/>
      </c>
      <c r="D101" s="31">
        <f>SUMIFS(統合決済履歴!$C$2:$C$198,統合決済履歴!$G$2:$G$198,"Transport",統合決済履歴!$D$2:$D$198,"JPY",統合決済履歴!$F$2:$F$198,"COMPLETED",統合決済履歴!$J$2:$J$198,"愛弓",統合決済履歴!$K$2:$K$198,"2026-08")</f>
        <v/>
      </c>
      <c r="E101" s="32">
        <f>B101*設定!$B$3+C101*設定!$B$4+D101</f>
        <v/>
      </c>
    </row>
    <row r="102">
      <c r="A102" s="36" t="inlineStr">
        <is>
          <t>合計</t>
        </is>
      </c>
      <c r="B102" s="37">
        <f>SUM(B92:B101)</f>
        <v/>
      </c>
      <c r="C102" s="37">
        <f>SUM(C92:C101)</f>
        <v/>
      </c>
      <c r="D102" s="37">
        <f>SUM(D92:D101)</f>
        <v/>
      </c>
      <c r="E102" s="38">
        <f>SUM(E92:E101)</f>
        <v/>
      </c>
    </row>
    <row r="104">
      <c r="A104" s="1" t="inlineStr">
        <is>
          <t>■ 共通</t>
        </is>
      </c>
    </row>
    <row r="105">
      <c r="A105" s="6" t="inlineStr">
        <is>
          <t>カテゴリ</t>
        </is>
      </c>
      <c r="B105" s="29" t="inlineStr">
        <is>
          <t>GBP 合計</t>
        </is>
      </c>
      <c r="C105" s="29" t="inlineStr">
        <is>
          <t>EUR 合計</t>
        </is>
      </c>
      <c r="D105" s="29" t="inlineStr">
        <is>
          <t>JPY 合計</t>
        </is>
      </c>
      <c r="E105" s="29" t="inlineStr">
        <is>
          <t>JPY換算合計</t>
        </is>
      </c>
    </row>
    <row r="106">
      <c r="A106" s="30" t="inlineStr">
        <is>
          <t>Bills</t>
        </is>
      </c>
      <c r="B106" s="31">
        <f>SUMIFS(統合決済履歴!$C$2:$C$198,統合決済履歴!$G$2:$G$198,"Bills",統合決済履歴!$D$2:$D$198,"GBP",統合決済履歴!$F$2:$F$198,"COMPLETED",統合決済履歴!$J$2:$J$198,"共通",統合決済履歴!$K$2:$K$198,"2026-08")</f>
        <v/>
      </c>
      <c r="C106" s="31">
        <f>SUMIFS(統合決済履歴!$C$2:$C$198,統合決済履歴!$G$2:$G$198,"Bills",統合決済履歴!$D$2:$D$198,"EUR",統合決済履歴!$F$2:$F$198,"COMPLETED",統合決済履歴!$J$2:$J$198,"共通",統合決済履歴!$K$2:$K$198,"2026-08")</f>
        <v/>
      </c>
      <c r="D106" s="31">
        <f>SUMIFS(統合決済履歴!$C$2:$C$198,統合決済履歴!$G$2:$G$198,"Bills",統合決済履歴!$D$2:$D$198,"JPY",統合決済履歴!$F$2:$F$198,"COMPLETED",統合決済履歴!$J$2:$J$198,"共通",統合決済履歴!$K$2:$K$198,"2026-08")</f>
        <v/>
      </c>
      <c r="E106" s="32">
        <f>B106*設定!$B$3+C106*設定!$B$4+D106</f>
        <v/>
      </c>
    </row>
    <row r="107">
      <c r="A107" s="30" t="inlineStr">
        <is>
          <t>Eating out</t>
        </is>
      </c>
      <c r="B107" s="31">
        <f>SUMIFS(統合決済履歴!$C$2:$C$198,統合決済履歴!$G$2:$G$198,"Eating out",統合決済履歴!$D$2:$D$198,"GBP",統合決済履歴!$F$2:$F$198,"COMPLETED",統合決済履歴!$J$2:$J$198,"共通",統合決済履歴!$K$2:$K$198,"2026-08")</f>
        <v/>
      </c>
      <c r="C107" s="31">
        <f>SUMIFS(統合決済履歴!$C$2:$C$198,統合決済履歴!$G$2:$G$198,"Eating out",統合決済履歴!$D$2:$D$198,"EUR",統合決済履歴!$F$2:$F$198,"COMPLETED",統合決済履歴!$J$2:$J$198,"共通",統合決済履歴!$K$2:$K$198,"2026-08")</f>
        <v/>
      </c>
      <c r="D107" s="31">
        <f>SUMIFS(統合決済履歴!$C$2:$C$198,統合決済履歴!$G$2:$G$198,"Eating out",統合決済履歴!$D$2:$D$198,"JPY",統合決済履歴!$F$2:$F$198,"COMPLETED",統合決済履歴!$J$2:$J$198,"共通",統合決済履歴!$K$2:$K$198,"2026-08")</f>
        <v/>
      </c>
      <c r="E107" s="32">
        <f>B107*設定!$B$3+C107*設定!$B$4+D107</f>
        <v/>
      </c>
    </row>
    <row r="108">
      <c r="A108" s="30" t="inlineStr">
        <is>
          <t>Entertainment</t>
        </is>
      </c>
      <c r="B108" s="31">
        <f>SUMIFS(統合決済履歴!$C$2:$C$198,統合決済履歴!$G$2:$G$198,"Entertainment",統合決済履歴!$D$2:$D$198,"GBP",統合決済履歴!$F$2:$F$198,"COMPLETED",統合決済履歴!$J$2:$J$198,"共通",統合決済履歴!$K$2:$K$198,"2026-08")</f>
        <v/>
      </c>
      <c r="C108" s="31">
        <f>SUMIFS(統合決済履歴!$C$2:$C$198,統合決済履歴!$G$2:$G$198,"Entertainment",統合決済履歴!$D$2:$D$198,"EUR",統合決済履歴!$F$2:$F$198,"COMPLETED",統合決済履歴!$J$2:$J$198,"共通",統合決済履歴!$K$2:$K$198,"2026-08")</f>
        <v/>
      </c>
      <c r="D108" s="31">
        <f>SUMIFS(統合決済履歴!$C$2:$C$198,統合決済履歴!$G$2:$G$198,"Entertainment",統合決済履歴!$D$2:$D$198,"JPY",統合決済履歴!$F$2:$F$198,"COMPLETED",統合決済履歴!$J$2:$J$198,"共通",統合決済履歴!$K$2:$K$198,"2026-08")</f>
        <v/>
      </c>
      <c r="E108" s="32">
        <f>B108*設定!$B$3+C108*設定!$B$4+D108</f>
        <v/>
      </c>
    </row>
    <row r="109">
      <c r="A109" s="30" t="inlineStr">
        <is>
          <t>Family</t>
        </is>
      </c>
      <c r="B109" s="31">
        <f>SUMIFS(統合決済履歴!$C$2:$C$198,統合決済履歴!$G$2:$G$198,"Family",統合決済履歴!$D$2:$D$198,"GBP",統合決済履歴!$F$2:$F$198,"COMPLETED",統合決済履歴!$J$2:$J$198,"共通",統合決済履歴!$K$2:$K$198,"2026-08")</f>
        <v/>
      </c>
      <c r="C109" s="31">
        <f>SUMIFS(統合決済履歴!$C$2:$C$198,統合決済履歴!$G$2:$G$198,"Family",統合決済履歴!$D$2:$D$198,"EUR",統合決済履歴!$F$2:$F$198,"COMPLETED",統合決済履歴!$J$2:$J$198,"共通",統合決済履歴!$K$2:$K$198,"2026-08")</f>
        <v/>
      </c>
      <c r="D109" s="31">
        <f>SUMIFS(統合決済履歴!$C$2:$C$198,統合決済履歴!$G$2:$G$198,"Family",統合決済履歴!$D$2:$D$198,"JPY",統合決済履歴!$F$2:$F$198,"COMPLETED",統合決済履歴!$J$2:$J$198,"共通",統合決済履歴!$K$2:$K$198,"2026-08")</f>
        <v/>
      </c>
      <c r="E109" s="32">
        <f>B109*設定!$B$3+C109*設定!$B$4+D109</f>
        <v/>
      </c>
    </row>
    <row r="110">
      <c r="A110" s="30" t="inlineStr">
        <is>
          <t>General</t>
        </is>
      </c>
      <c r="B110" s="31">
        <f>SUMIFS(統合決済履歴!$C$2:$C$198,統合決済履歴!$G$2:$G$198,"General",統合決済履歴!$D$2:$D$198,"GBP",統合決済履歴!$F$2:$F$198,"COMPLETED",統合決済履歴!$J$2:$J$198,"共通",統合決済履歴!$K$2:$K$198,"2026-08")</f>
        <v/>
      </c>
      <c r="C110" s="31">
        <f>SUMIFS(統合決済履歴!$C$2:$C$198,統合決済履歴!$G$2:$G$198,"General",統合決済履歴!$D$2:$D$198,"EUR",統合決済履歴!$F$2:$F$198,"COMPLETED",統合決済履歴!$J$2:$J$198,"共通",統合決済履歴!$K$2:$K$198,"2026-08")</f>
        <v/>
      </c>
      <c r="D110" s="31">
        <f>SUMIFS(統合決済履歴!$C$2:$C$198,統合決済履歴!$G$2:$G$198,"General",統合決済履歴!$D$2:$D$198,"JPY",統合決済履歴!$F$2:$F$198,"COMPLETED",統合決済履歴!$J$2:$J$198,"共通",統合決済履歴!$K$2:$K$198,"2026-08")</f>
        <v/>
      </c>
      <c r="E110" s="32">
        <f>B110*設定!$B$3+C110*設定!$B$4+D110</f>
        <v/>
      </c>
    </row>
    <row r="111">
      <c r="A111" s="30" t="inlineStr">
        <is>
          <t>Groceries</t>
        </is>
      </c>
      <c r="B111" s="31">
        <f>SUMIFS(統合決済履歴!$C$2:$C$198,統合決済履歴!$G$2:$G$198,"Groceries",統合決済履歴!$D$2:$D$198,"GBP",統合決済履歴!$F$2:$F$198,"COMPLETED",統合決済履歴!$J$2:$J$198,"共通",統合決済履歴!$K$2:$K$198,"2026-08")</f>
        <v/>
      </c>
      <c r="C111" s="31">
        <f>SUMIFS(統合決済履歴!$C$2:$C$198,統合決済履歴!$G$2:$G$198,"Groceries",統合決済履歴!$D$2:$D$198,"EUR",統合決済履歴!$F$2:$F$198,"COMPLETED",統合決済履歴!$J$2:$J$198,"共通",統合決済履歴!$K$2:$K$198,"2026-08")</f>
        <v/>
      </c>
      <c r="D111" s="31">
        <f>SUMIFS(統合決済履歴!$C$2:$C$198,統合決済履歴!$G$2:$G$198,"Groceries",統合決済履歴!$D$2:$D$198,"JPY",統合決済履歴!$F$2:$F$198,"COMPLETED",統合決済履歴!$J$2:$J$198,"共通",統合決済履歴!$K$2:$K$198,"2026-08")</f>
        <v/>
      </c>
      <c r="E111" s="32">
        <f>B111*設定!$B$3+C111*設定!$B$4+D111</f>
        <v/>
      </c>
    </row>
    <row r="112">
      <c r="A112" s="30" t="inlineStr">
        <is>
          <t>Money added</t>
        </is>
      </c>
      <c r="B112" s="31">
        <f>SUMIFS(統合決済履歴!$C$2:$C$198,統合決済履歴!$G$2:$G$198,"Money added",統合決済履歴!$D$2:$D$198,"GBP",統合決済履歴!$F$2:$F$198,"COMPLETED",統合決済履歴!$J$2:$J$198,"共通",統合決済履歴!$K$2:$K$198,"2026-08")</f>
        <v/>
      </c>
      <c r="C112" s="31">
        <f>SUMIFS(統合決済履歴!$C$2:$C$198,統合決済履歴!$G$2:$G$198,"Money added",統合決済履歴!$D$2:$D$198,"EUR",統合決済履歴!$F$2:$F$198,"COMPLETED",統合決済履歴!$J$2:$J$198,"共通",統合決済履歴!$K$2:$K$198,"2026-08")</f>
        <v/>
      </c>
      <c r="D112" s="31">
        <f>SUMIFS(統合決済履歴!$C$2:$C$198,統合決済履歴!$G$2:$G$198,"Money added",統合決済履歴!$D$2:$D$198,"JPY",統合決済履歴!$F$2:$F$198,"COMPLETED",統合決済履歴!$J$2:$J$198,"共通",統合決済履歴!$K$2:$K$198,"2026-08")</f>
        <v/>
      </c>
      <c r="E112" s="32">
        <f>B112*設定!$B$3+C112*設定!$B$4+D112</f>
        <v/>
      </c>
    </row>
    <row r="113">
      <c r="A113" s="30" t="inlineStr">
        <is>
          <t>Personal care</t>
        </is>
      </c>
      <c r="B113" s="31">
        <f>SUMIFS(統合決済履歴!$C$2:$C$198,統合決済履歴!$G$2:$G$198,"Personal care",統合決済履歴!$D$2:$D$198,"GBP",統合決済履歴!$F$2:$F$198,"COMPLETED",統合決済履歴!$J$2:$J$198,"共通",統合決済履歴!$K$2:$K$198,"2026-08")</f>
        <v/>
      </c>
      <c r="C113" s="31">
        <f>SUMIFS(統合決済履歴!$C$2:$C$198,統合決済履歴!$G$2:$G$198,"Personal care",統合決済履歴!$D$2:$D$198,"EUR",統合決済履歴!$F$2:$F$198,"COMPLETED",統合決済履歴!$J$2:$J$198,"共通",統合決済履歴!$K$2:$K$198,"2026-08")</f>
        <v/>
      </c>
      <c r="D113" s="31">
        <f>SUMIFS(統合決済履歴!$C$2:$C$198,統合決済履歴!$G$2:$G$198,"Personal care",統合決済履歴!$D$2:$D$198,"JPY",統合決済履歴!$F$2:$F$198,"COMPLETED",統合決済履歴!$J$2:$J$198,"共通",統合決済履歴!$K$2:$K$198,"2026-08")</f>
        <v/>
      </c>
      <c r="E113" s="32">
        <f>B113*設定!$B$3+C113*設定!$B$4+D113</f>
        <v/>
      </c>
    </row>
    <row r="114">
      <c r="A114" s="30" t="inlineStr">
        <is>
          <t>Shopping</t>
        </is>
      </c>
      <c r="B114" s="31">
        <f>SUMIFS(統合決済履歴!$C$2:$C$198,統合決済履歴!$G$2:$G$198,"Shopping",統合決済履歴!$D$2:$D$198,"GBP",統合決済履歴!$F$2:$F$198,"COMPLETED",統合決済履歴!$J$2:$J$198,"共通",統合決済履歴!$K$2:$K$198,"2026-08")</f>
        <v/>
      </c>
      <c r="C114" s="31">
        <f>SUMIFS(統合決済履歴!$C$2:$C$198,統合決済履歴!$G$2:$G$198,"Shopping",統合決済履歴!$D$2:$D$198,"EUR",統合決済履歴!$F$2:$F$198,"COMPLETED",統合決済履歴!$J$2:$J$198,"共通",統合決済履歴!$K$2:$K$198,"2026-08")</f>
        <v/>
      </c>
      <c r="D114" s="31">
        <f>SUMIFS(統合決済履歴!$C$2:$C$198,統合決済履歴!$G$2:$G$198,"Shopping",統合決済履歴!$D$2:$D$198,"JPY",統合決済履歴!$F$2:$F$198,"COMPLETED",統合決済履歴!$J$2:$J$198,"共通",統合決済履歴!$K$2:$K$198,"2026-08")</f>
        <v/>
      </c>
      <c r="E114" s="32">
        <f>B114*設定!$B$3+C114*設定!$B$4+D114</f>
        <v/>
      </c>
    </row>
    <row r="115">
      <c r="A115" s="30" t="inlineStr">
        <is>
          <t>Transport</t>
        </is>
      </c>
      <c r="B115" s="31">
        <f>SUMIFS(統合決済履歴!$C$2:$C$198,統合決済履歴!$G$2:$G$198,"Transport",統合決済履歴!$D$2:$D$198,"GBP",統合決済履歴!$F$2:$F$198,"COMPLETED",統合決済履歴!$J$2:$J$198,"共通",統合決済履歴!$K$2:$K$198,"2026-08")</f>
        <v/>
      </c>
      <c r="C115" s="31">
        <f>SUMIFS(統合決済履歴!$C$2:$C$198,統合決済履歴!$G$2:$G$198,"Transport",統合決済履歴!$D$2:$D$198,"EUR",統合決済履歴!$F$2:$F$198,"COMPLETED",統合決済履歴!$J$2:$J$198,"共通",統合決済履歴!$K$2:$K$198,"2026-08")</f>
        <v/>
      </c>
      <c r="D115" s="31">
        <f>SUMIFS(統合決済履歴!$C$2:$C$198,統合決済履歴!$G$2:$G$198,"Transport",統合決済履歴!$D$2:$D$198,"JPY",統合決済履歴!$F$2:$F$198,"COMPLETED",統合決済履歴!$J$2:$J$198,"共通",統合決済履歴!$K$2:$K$198,"2026-08")</f>
        <v/>
      </c>
      <c r="E115" s="32">
        <f>B115*設定!$B$3+C115*設定!$B$4+D115</f>
        <v/>
      </c>
    </row>
    <row r="116">
      <c r="A116" s="36" t="inlineStr">
        <is>
          <t>合計</t>
        </is>
      </c>
      <c r="B116" s="37">
        <f>SUM(B106:B115)</f>
        <v/>
      </c>
      <c r="C116" s="37">
        <f>SUM(C106:C115)</f>
        <v/>
      </c>
      <c r="D116" s="37">
        <f>SUM(D106:D115)</f>
        <v/>
      </c>
      <c r="E116" s="38">
        <f>SUM(E106:E115)</f>
        <v/>
      </c>
    </row>
    <row r="118">
      <c r="A118" s="1" t="inlineStr">
        <is>
          <t>■ 合計（聖也＋愛弓＋共通、除外を除く）</t>
        </is>
      </c>
    </row>
    <row r="119">
      <c r="A119" s="6" t="inlineStr">
        <is>
          <t>カテゴリ</t>
        </is>
      </c>
      <c r="B119" s="29" t="inlineStr">
        <is>
          <t>GBP 合計</t>
        </is>
      </c>
      <c r="C119" s="29" t="inlineStr">
        <is>
          <t>EUR 合計</t>
        </is>
      </c>
      <c r="D119" s="29" t="inlineStr">
        <is>
          <t>JPY 合計</t>
        </is>
      </c>
      <c r="E119" s="29" t="inlineStr">
        <is>
          <t>JPY換算合計</t>
        </is>
      </c>
    </row>
    <row r="120">
      <c r="A120" s="30" t="inlineStr">
        <is>
          <t>Bills</t>
        </is>
      </c>
      <c r="B120" s="31">
        <f>SUMIFS(統合決済履歴!$C$2:$C$198,統合決済履歴!$G$2:$G$198,"Bills",統合決済履歴!$D$2:$D$198,"GBP",統合決済履歴!$F$2:$F$198,"COMPLETED",統合決済履歴!$J$2:$J$198,"&lt;&gt;除外",統合決済履歴!$K$2:$K$198,"2026-08")</f>
        <v/>
      </c>
      <c r="C120" s="31">
        <f>SUMIFS(統合決済履歴!$C$2:$C$198,統合決済履歴!$G$2:$G$198,"Bills",統合決済履歴!$D$2:$D$198,"EUR",統合決済履歴!$F$2:$F$198,"COMPLETED",統合決済履歴!$J$2:$J$198,"&lt;&gt;除外",統合決済履歴!$K$2:$K$198,"2026-08")</f>
        <v/>
      </c>
      <c r="D120" s="31">
        <f>SUMIFS(統合決済履歴!$C$2:$C$198,統合決済履歴!$G$2:$G$198,"Bills",統合決済履歴!$D$2:$D$198,"JPY",統合決済履歴!$F$2:$F$198,"COMPLETED",統合決済履歴!$J$2:$J$198,"&lt;&gt;除外",統合決済履歴!$K$2:$K$198,"2026-08")</f>
        <v/>
      </c>
      <c r="E120" s="32">
        <f>B120*設定!$B$3+C120*設定!$B$4+D120</f>
        <v/>
      </c>
    </row>
    <row r="121">
      <c r="A121" s="30" t="inlineStr">
        <is>
          <t>Eating out</t>
        </is>
      </c>
      <c r="B121" s="31">
        <f>SUMIFS(統合決済履歴!$C$2:$C$198,統合決済履歴!$G$2:$G$198,"Eating out",統合決済履歴!$D$2:$D$198,"GBP",統合決済履歴!$F$2:$F$198,"COMPLETED",統合決済履歴!$J$2:$J$198,"&lt;&gt;除外",統合決済履歴!$K$2:$K$198,"2026-08")</f>
        <v/>
      </c>
      <c r="C121" s="31">
        <f>SUMIFS(統合決済履歴!$C$2:$C$198,統合決済履歴!$G$2:$G$198,"Eating out",統合決済履歴!$D$2:$D$198,"EUR",統合決済履歴!$F$2:$F$198,"COMPLETED",統合決済履歴!$J$2:$J$198,"&lt;&gt;除外",統合決済履歴!$K$2:$K$198,"2026-08")</f>
        <v/>
      </c>
      <c r="D121" s="31">
        <f>SUMIFS(統合決済履歴!$C$2:$C$198,統合決済履歴!$G$2:$G$198,"Eating out",統合決済履歴!$D$2:$D$198,"JPY",統合決済履歴!$F$2:$F$198,"COMPLETED",統合決済履歴!$J$2:$J$198,"&lt;&gt;除外",統合決済履歴!$K$2:$K$198,"2026-08")</f>
        <v/>
      </c>
      <c r="E121" s="32">
        <f>B121*設定!$B$3+C121*設定!$B$4+D121</f>
        <v/>
      </c>
    </row>
    <row r="122">
      <c r="A122" s="30" t="inlineStr">
        <is>
          <t>Entertainment</t>
        </is>
      </c>
      <c r="B122" s="31">
        <f>SUMIFS(統合決済履歴!$C$2:$C$198,統合決済履歴!$G$2:$G$198,"Entertainment",統合決済履歴!$D$2:$D$198,"GBP",統合決済履歴!$F$2:$F$198,"COMPLETED",統合決済履歴!$J$2:$J$198,"&lt;&gt;除外",統合決済履歴!$K$2:$K$198,"2026-08")</f>
        <v/>
      </c>
      <c r="C122" s="31">
        <f>SUMIFS(統合決済履歴!$C$2:$C$198,統合決済履歴!$G$2:$G$198,"Entertainment",統合決済履歴!$D$2:$D$198,"EUR",統合決済履歴!$F$2:$F$198,"COMPLETED",統合決済履歴!$J$2:$J$198,"&lt;&gt;除外",統合決済履歴!$K$2:$K$198,"2026-08")</f>
        <v/>
      </c>
      <c r="D122" s="31">
        <f>SUMIFS(統合決済履歴!$C$2:$C$198,統合決済履歴!$G$2:$G$198,"Entertainment",統合決済履歴!$D$2:$D$198,"JPY",統合決済履歴!$F$2:$F$198,"COMPLETED",統合決済履歴!$J$2:$J$198,"&lt;&gt;除外",統合決済履歴!$K$2:$K$198,"2026-08")</f>
        <v/>
      </c>
      <c r="E122" s="32">
        <f>B122*設定!$B$3+C122*設定!$B$4+D122</f>
        <v/>
      </c>
    </row>
    <row r="123">
      <c r="A123" s="30" t="inlineStr">
        <is>
          <t>Family</t>
        </is>
      </c>
      <c r="B123" s="31">
        <f>SUMIFS(統合決済履歴!$C$2:$C$198,統合決済履歴!$G$2:$G$198,"Family",統合決済履歴!$D$2:$D$198,"GBP",統合決済履歴!$F$2:$F$198,"COMPLETED",統合決済履歴!$J$2:$J$198,"&lt;&gt;除外",統合決済履歴!$K$2:$K$198,"2026-08")</f>
        <v/>
      </c>
      <c r="C123" s="31">
        <f>SUMIFS(統合決済履歴!$C$2:$C$198,統合決済履歴!$G$2:$G$198,"Family",統合決済履歴!$D$2:$D$198,"EUR",統合決済履歴!$F$2:$F$198,"COMPLETED",統合決済履歴!$J$2:$J$198,"&lt;&gt;除外",統合決済履歴!$K$2:$K$198,"2026-08")</f>
        <v/>
      </c>
      <c r="D123" s="31">
        <f>SUMIFS(統合決済履歴!$C$2:$C$198,統合決済履歴!$G$2:$G$198,"Family",統合決済履歴!$D$2:$D$198,"JPY",統合決済履歴!$F$2:$F$198,"COMPLETED",統合決済履歴!$J$2:$J$198,"&lt;&gt;除外",統合決済履歴!$K$2:$K$198,"2026-08")</f>
        <v/>
      </c>
      <c r="E123" s="32">
        <f>B123*設定!$B$3+C123*設定!$B$4+D123</f>
        <v/>
      </c>
    </row>
    <row r="124">
      <c r="A124" s="30" t="inlineStr">
        <is>
          <t>General</t>
        </is>
      </c>
      <c r="B124" s="31">
        <f>SUMIFS(統合決済履歴!$C$2:$C$198,統合決済履歴!$G$2:$G$198,"General",統合決済履歴!$D$2:$D$198,"GBP",統合決済履歴!$F$2:$F$198,"COMPLETED",統合決済履歴!$J$2:$J$198,"&lt;&gt;除外",統合決済履歴!$K$2:$K$198,"2026-08")</f>
        <v/>
      </c>
      <c r="C124" s="31">
        <f>SUMIFS(統合決済履歴!$C$2:$C$198,統合決済履歴!$G$2:$G$198,"General",統合決済履歴!$D$2:$D$198,"EUR",統合決済履歴!$F$2:$F$198,"COMPLETED",統合決済履歴!$J$2:$J$198,"&lt;&gt;除外",統合決済履歴!$K$2:$K$198,"2026-08")</f>
        <v/>
      </c>
      <c r="D124" s="31">
        <f>SUMIFS(統合決済履歴!$C$2:$C$198,統合決済履歴!$G$2:$G$198,"General",統合決済履歴!$D$2:$D$198,"JPY",統合決済履歴!$F$2:$F$198,"COMPLETED",統合決済履歴!$J$2:$J$198,"&lt;&gt;除外",統合決済履歴!$K$2:$K$198,"2026-08")</f>
        <v/>
      </c>
      <c r="E124" s="32">
        <f>B124*設定!$B$3+C124*設定!$B$4+D124</f>
        <v/>
      </c>
    </row>
    <row r="125">
      <c r="A125" s="30" t="inlineStr">
        <is>
          <t>Groceries</t>
        </is>
      </c>
      <c r="B125" s="31">
        <f>SUMIFS(統合決済履歴!$C$2:$C$198,統合決済履歴!$G$2:$G$198,"Groceries",統合決済履歴!$D$2:$D$198,"GBP",統合決済履歴!$F$2:$F$198,"COMPLETED",統合決済履歴!$J$2:$J$198,"&lt;&gt;除外",統合決済履歴!$K$2:$K$198,"2026-08")</f>
        <v/>
      </c>
      <c r="C125" s="31">
        <f>SUMIFS(統合決済履歴!$C$2:$C$198,統合決済履歴!$G$2:$G$198,"Groceries",統合決済履歴!$D$2:$D$198,"EUR",統合決済履歴!$F$2:$F$198,"COMPLETED",統合決済履歴!$J$2:$J$198,"&lt;&gt;除外",統合決済履歴!$K$2:$K$198,"2026-08")</f>
        <v/>
      </c>
      <c r="D125" s="31">
        <f>SUMIFS(統合決済履歴!$C$2:$C$198,統合決済履歴!$G$2:$G$198,"Groceries",統合決済履歴!$D$2:$D$198,"JPY",統合決済履歴!$F$2:$F$198,"COMPLETED",統合決済履歴!$J$2:$J$198,"&lt;&gt;除外",統合決済履歴!$K$2:$K$198,"2026-08")</f>
        <v/>
      </c>
      <c r="E125" s="32">
        <f>B125*設定!$B$3+C125*設定!$B$4+D125</f>
        <v/>
      </c>
    </row>
    <row r="126">
      <c r="A126" s="30" t="inlineStr">
        <is>
          <t>Money added</t>
        </is>
      </c>
      <c r="B126" s="31">
        <f>SUMIFS(統合決済履歴!$C$2:$C$198,統合決済履歴!$G$2:$G$198,"Money added",統合決済履歴!$D$2:$D$198,"GBP",統合決済履歴!$F$2:$F$198,"COMPLETED",統合決済履歴!$J$2:$J$198,"&lt;&gt;除外",統合決済履歴!$K$2:$K$198,"2026-08")</f>
        <v/>
      </c>
      <c r="C126" s="31">
        <f>SUMIFS(統合決済履歴!$C$2:$C$198,統合決済履歴!$G$2:$G$198,"Money added",統合決済履歴!$D$2:$D$198,"EUR",統合決済履歴!$F$2:$F$198,"COMPLETED",統合決済履歴!$J$2:$J$198,"&lt;&gt;除外",統合決済履歴!$K$2:$K$198,"2026-08")</f>
        <v/>
      </c>
      <c r="D126" s="31">
        <f>SUMIFS(統合決済履歴!$C$2:$C$198,統合決済履歴!$G$2:$G$198,"Money added",統合決済履歴!$D$2:$D$198,"JPY",統合決済履歴!$F$2:$F$198,"COMPLETED",統合決済履歴!$J$2:$J$198,"&lt;&gt;除外",統合決済履歴!$K$2:$K$198,"2026-08")</f>
        <v/>
      </c>
      <c r="E126" s="32">
        <f>B126*設定!$B$3+C126*設定!$B$4+D126</f>
        <v/>
      </c>
    </row>
    <row r="127">
      <c r="A127" s="30" t="inlineStr">
        <is>
          <t>Personal care</t>
        </is>
      </c>
      <c r="B127" s="31">
        <f>SUMIFS(統合決済履歴!$C$2:$C$198,統合決済履歴!$G$2:$G$198,"Personal care",統合決済履歴!$D$2:$D$198,"GBP",統合決済履歴!$F$2:$F$198,"COMPLETED",統合決済履歴!$J$2:$J$198,"&lt;&gt;除外",統合決済履歴!$K$2:$K$198,"2026-08")</f>
        <v/>
      </c>
      <c r="C127" s="31">
        <f>SUMIFS(統合決済履歴!$C$2:$C$198,統合決済履歴!$G$2:$G$198,"Personal care",統合決済履歴!$D$2:$D$198,"EUR",統合決済履歴!$F$2:$F$198,"COMPLETED",統合決済履歴!$J$2:$J$198,"&lt;&gt;除外",統合決済履歴!$K$2:$K$198,"2026-08")</f>
        <v/>
      </c>
      <c r="D127" s="31">
        <f>SUMIFS(統合決済履歴!$C$2:$C$198,統合決済履歴!$G$2:$G$198,"Personal care",統合決済履歴!$D$2:$D$198,"JPY",統合決済履歴!$F$2:$F$198,"COMPLETED",統合決済履歴!$J$2:$J$198,"&lt;&gt;除外",統合決済履歴!$K$2:$K$198,"2026-08")</f>
        <v/>
      </c>
      <c r="E127" s="32">
        <f>B127*設定!$B$3+C127*設定!$B$4+D127</f>
        <v/>
      </c>
    </row>
    <row r="128">
      <c r="A128" s="30" t="inlineStr">
        <is>
          <t>Shopping</t>
        </is>
      </c>
      <c r="B128" s="31">
        <f>SUMIFS(統合決済履歴!$C$2:$C$198,統合決済履歴!$G$2:$G$198,"Shopping",統合決済履歴!$D$2:$D$198,"GBP",統合決済履歴!$F$2:$F$198,"COMPLETED",統合決済履歴!$J$2:$J$198,"&lt;&gt;除外",統合決済履歴!$K$2:$K$198,"2026-08")</f>
        <v/>
      </c>
      <c r="C128" s="31">
        <f>SUMIFS(統合決済履歴!$C$2:$C$198,統合決済履歴!$G$2:$G$198,"Shopping",統合決済履歴!$D$2:$D$198,"EUR",統合決済履歴!$F$2:$F$198,"COMPLETED",統合決済履歴!$J$2:$J$198,"&lt;&gt;除外",統合決済履歴!$K$2:$K$198,"2026-08")</f>
        <v/>
      </c>
      <c r="D128" s="31">
        <f>SUMIFS(統合決済履歴!$C$2:$C$198,統合決済履歴!$G$2:$G$198,"Shopping",統合決済履歴!$D$2:$D$198,"JPY",統合決済履歴!$F$2:$F$198,"COMPLETED",統合決済履歴!$J$2:$J$198,"&lt;&gt;除外",統合決済履歴!$K$2:$K$198,"2026-08")</f>
        <v/>
      </c>
      <c r="E128" s="32">
        <f>B128*設定!$B$3+C128*設定!$B$4+D128</f>
        <v/>
      </c>
    </row>
    <row r="129">
      <c r="A129" s="30" t="inlineStr">
        <is>
          <t>Transport</t>
        </is>
      </c>
      <c r="B129" s="31">
        <f>SUMIFS(統合決済履歴!$C$2:$C$198,統合決済履歴!$G$2:$G$198,"Transport",統合決済履歴!$D$2:$D$198,"GBP",統合決済履歴!$F$2:$F$198,"COMPLETED",統合決済履歴!$J$2:$J$198,"&lt;&gt;除外",統合決済履歴!$K$2:$K$198,"2026-08")</f>
        <v/>
      </c>
      <c r="C129" s="31">
        <f>SUMIFS(統合決済履歴!$C$2:$C$198,統合決済履歴!$G$2:$G$198,"Transport",統合決済履歴!$D$2:$D$198,"EUR",統合決済履歴!$F$2:$F$198,"COMPLETED",統合決済履歴!$J$2:$J$198,"&lt;&gt;除外",統合決済履歴!$K$2:$K$198,"2026-08")</f>
        <v/>
      </c>
      <c r="D129" s="31">
        <f>SUMIFS(統合決済履歴!$C$2:$C$198,統合決済履歴!$G$2:$G$198,"Transport",統合決済履歴!$D$2:$D$198,"JPY",統合決済履歴!$F$2:$F$198,"COMPLETED",統合決済履歴!$J$2:$J$198,"&lt;&gt;除外",統合決済履歴!$K$2:$K$198,"2026-08")</f>
        <v/>
      </c>
      <c r="E129" s="32">
        <f>B129*設定!$B$3+C129*設定!$B$4+D129</f>
        <v/>
      </c>
    </row>
    <row r="130">
      <c r="A130" s="36" t="inlineStr">
        <is>
          <t>合計</t>
        </is>
      </c>
      <c r="B130" s="37">
        <f>SUM(B120:B129)</f>
        <v/>
      </c>
      <c r="C130" s="37">
        <f>SUM(C120:C129)</f>
        <v/>
      </c>
      <c r="D130" s="37">
        <f>SUM(D120:D129)</f>
        <v/>
      </c>
      <c r="E130" s="38">
        <f>SUM(E120:E129)</f>
        <v/>
      </c>
    </row>
    <row r="132">
      <c r="A132" s="1" t="inlineStr">
        <is>
          <t>■ 除外（参考・合計には含めない）</t>
        </is>
      </c>
    </row>
    <row r="133">
      <c r="A133" s="6" t="inlineStr">
        <is>
          <t>カテゴリ</t>
        </is>
      </c>
      <c r="B133" s="29" t="inlineStr">
        <is>
          <t>GBP 合計</t>
        </is>
      </c>
      <c r="C133" s="29" t="inlineStr">
        <is>
          <t>EUR 合計</t>
        </is>
      </c>
      <c r="D133" s="29" t="inlineStr">
        <is>
          <t>JPY 合計</t>
        </is>
      </c>
      <c r="E133" s="29" t="inlineStr">
        <is>
          <t>JPY換算合計</t>
        </is>
      </c>
    </row>
    <row r="134">
      <c r="A134" s="30" t="inlineStr">
        <is>
          <t>Bills</t>
        </is>
      </c>
      <c r="B134" s="31">
        <f>SUMIFS(統合決済履歴!$C$2:$C$198,統合決済履歴!$G$2:$G$198,"Bills",統合決済履歴!$D$2:$D$198,"GBP",統合決済履歴!$F$2:$F$198,"COMPLETED",統合決済履歴!$J$2:$J$198,"除外",統合決済履歴!$K$2:$K$198,"2026-08")</f>
        <v/>
      </c>
      <c r="C134" s="31">
        <f>SUMIFS(統合決済履歴!$C$2:$C$198,統合決済履歴!$G$2:$G$198,"Bills",統合決済履歴!$D$2:$D$198,"EUR",統合決済履歴!$F$2:$F$198,"COMPLETED",統合決済履歴!$J$2:$J$198,"除外",統合決済履歴!$K$2:$K$198,"2026-08")</f>
        <v/>
      </c>
      <c r="D134" s="31">
        <f>SUMIFS(統合決済履歴!$C$2:$C$198,統合決済履歴!$G$2:$G$198,"Bills",統合決済履歴!$D$2:$D$198,"JPY",統合決済履歴!$F$2:$F$198,"COMPLETED",統合決済履歴!$J$2:$J$198,"除外",統合決済履歴!$K$2:$K$198,"2026-08")</f>
        <v/>
      </c>
      <c r="E134" s="32">
        <f>B134*設定!$B$3+C134*設定!$B$4+D134</f>
        <v/>
      </c>
    </row>
    <row r="135">
      <c r="A135" s="30" t="inlineStr">
        <is>
          <t>Eating out</t>
        </is>
      </c>
      <c r="B135" s="31">
        <f>SUMIFS(統合決済履歴!$C$2:$C$198,統合決済履歴!$G$2:$G$198,"Eating out",統合決済履歴!$D$2:$D$198,"GBP",統合決済履歴!$F$2:$F$198,"COMPLETED",統合決済履歴!$J$2:$J$198,"除外",統合決済履歴!$K$2:$K$198,"2026-08")</f>
        <v/>
      </c>
      <c r="C135" s="31">
        <f>SUMIFS(統合決済履歴!$C$2:$C$198,統合決済履歴!$G$2:$G$198,"Eating out",統合決済履歴!$D$2:$D$198,"EUR",統合決済履歴!$F$2:$F$198,"COMPLETED",統合決済履歴!$J$2:$J$198,"除外",統合決済履歴!$K$2:$K$198,"2026-08")</f>
        <v/>
      </c>
      <c r="D135" s="31">
        <f>SUMIFS(統合決済履歴!$C$2:$C$198,統合決済履歴!$G$2:$G$198,"Eating out",統合決済履歴!$D$2:$D$198,"JPY",統合決済履歴!$F$2:$F$198,"COMPLETED",統合決済履歴!$J$2:$J$198,"除外",統合決済履歴!$K$2:$K$198,"2026-08")</f>
        <v/>
      </c>
      <c r="E135" s="32">
        <f>B135*設定!$B$3+C135*設定!$B$4+D135</f>
        <v/>
      </c>
    </row>
    <row r="136">
      <c r="A136" s="30" t="inlineStr">
        <is>
          <t>Entertainment</t>
        </is>
      </c>
      <c r="B136" s="31">
        <f>SUMIFS(統合決済履歴!$C$2:$C$198,統合決済履歴!$G$2:$G$198,"Entertainment",統合決済履歴!$D$2:$D$198,"GBP",統合決済履歴!$F$2:$F$198,"COMPLETED",統合決済履歴!$J$2:$J$198,"除外",統合決済履歴!$K$2:$K$198,"2026-08")</f>
        <v/>
      </c>
      <c r="C136" s="31">
        <f>SUMIFS(統合決済履歴!$C$2:$C$198,統合決済履歴!$G$2:$G$198,"Entertainment",統合決済履歴!$D$2:$D$198,"EUR",統合決済履歴!$F$2:$F$198,"COMPLETED",統合決済履歴!$J$2:$J$198,"除外",統合決済履歴!$K$2:$K$198,"2026-08")</f>
        <v/>
      </c>
      <c r="D136" s="31">
        <f>SUMIFS(統合決済履歴!$C$2:$C$198,統合決済履歴!$G$2:$G$198,"Entertainment",統合決済履歴!$D$2:$D$198,"JPY",統合決済履歴!$F$2:$F$198,"COMPLETED",統合決済履歴!$J$2:$J$198,"除外",統合決済履歴!$K$2:$K$198,"2026-08")</f>
        <v/>
      </c>
      <c r="E136" s="32">
        <f>B136*設定!$B$3+C136*設定!$B$4+D136</f>
        <v/>
      </c>
    </row>
    <row r="137">
      <c r="A137" s="30" t="inlineStr">
        <is>
          <t>Family</t>
        </is>
      </c>
      <c r="B137" s="31">
        <f>SUMIFS(統合決済履歴!$C$2:$C$198,統合決済履歴!$G$2:$G$198,"Family",統合決済履歴!$D$2:$D$198,"GBP",統合決済履歴!$F$2:$F$198,"COMPLETED",統合決済履歴!$J$2:$J$198,"除外",統合決済履歴!$K$2:$K$198,"2026-08")</f>
        <v/>
      </c>
      <c r="C137" s="31">
        <f>SUMIFS(統合決済履歴!$C$2:$C$198,統合決済履歴!$G$2:$G$198,"Family",統合決済履歴!$D$2:$D$198,"EUR",統合決済履歴!$F$2:$F$198,"COMPLETED",統合決済履歴!$J$2:$J$198,"除外",統合決済履歴!$K$2:$K$198,"2026-08")</f>
        <v/>
      </c>
      <c r="D137" s="31">
        <f>SUMIFS(統合決済履歴!$C$2:$C$198,統合決済履歴!$G$2:$G$198,"Family",統合決済履歴!$D$2:$D$198,"JPY",統合決済履歴!$F$2:$F$198,"COMPLETED",統合決済履歴!$J$2:$J$198,"除外",統合決済履歴!$K$2:$K$198,"2026-08")</f>
        <v/>
      </c>
      <c r="E137" s="32">
        <f>B137*設定!$B$3+C137*設定!$B$4+D137</f>
        <v/>
      </c>
    </row>
    <row r="138">
      <c r="A138" s="30" t="inlineStr">
        <is>
          <t>General</t>
        </is>
      </c>
      <c r="B138" s="31">
        <f>SUMIFS(統合決済履歴!$C$2:$C$198,統合決済履歴!$G$2:$G$198,"General",統合決済履歴!$D$2:$D$198,"GBP",統合決済履歴!$F$2:$F$198,"COMPLETED",統合決済履歴!$J$2:$J$198,"除外",統合決済履歴!$K$2:$K$198,"2026-08")</f>
        <v/>
      </c>
      <c r="C138" s="31">
        <f>SUMIFS(統合決済履歴!$C$2:$C$198,統合決済履歴!$G$2:$G$198,"General",統合決済履歴!$D$2:$D$198,"EUR",統合決済履歴!$F$2:$F$198,"COMPLETED",統合決済履歴!$J$2:$J$198,"除外",統合決済履歴!$K$2:$K$198,"2026-08")</f>
        <v/>
      </c>
      <c r="D138" s="31">
        <f>SUMIFS(統合決済履歴!$C$2:$C$198,統合決済履歴!$G$2:$G$198,"General",統合決済履歴!$D$2:$D$198,"JPY",統合決済履歴!$F$2:$F$198,"COMPLETED",統合決済履歴!$J$2:$J$198,"除外",統合決済履歴!$K$2:$K$198,"2026-08")</f>
        <v/>
      </c>
      <c r="E138" s="32">
        <f>B138*設定!$B$3+C138*設定!$B$4+D138</f>
        <v/>
      </c>
    </row>
    <row r="139">
      <c r="A139" s="30" t="inlineStr">
        <is>
          <t>Groceries</t>
        </is>
      </c>
      <c r="B139" s="31">
        <f>SUMIFS(統合決済履歴!$C$2:$C$198,統合決済履歴!$G$2:$G$198,"Groceries",統合決済履歴!$D$2:$D$198,"GBP",統合決済履歴!$F$2:$F$198,"COMPLETED",統合決済履歴!$J$2:$J$198,"除外",統合決済履歴!$K$2:$K$198,"2026-08")</f>
        <v/>
      </c>
      <c r="C139" s="31">
        <f>SUMIFS(統合決済履歴!$C$2:$C$198,統合決済履歴!$G$2:$G$198,"Groceries",統合決済履歴!$D$2:$D$198,"EUR",統合決済履歴!$F$2:$F$198,"COMPLETED",統合決済履歴!$J$2:$J$198,"除外",統合決済履歴!$K$2:$K$198,"2026-08")</f>
        <v/>
      </c>
      <c r="D139" s="31">
        <f>SUMIFS(統合決済履歴!$C$2:$C$198,統合決済履歴!$G$2:$G$198,"Groceries",統合決済履歴!$D$2:$D$198,"JPY",統合決済履歴!$F$2:$F$198,"COMPLETED",統合決済履歴!$J$2:$J$198,"除外",統合決済履歴!$K$2:$K$198,"2026-08")</f>
        <v/>
      </c>
      <c r="E139" s="32">
        <f>B139*設定!$B$3+C139*設定!$B$4+D139</f>
        <v/>
      </c>
    </row>
    <row r="140">
      <c r="A140" s="30" t="inlineStr">
        <is>
          <t>Money added</t>
        </is>
      </c>
      <c r="B140" s="31">
        <f>SUMIFS(統合決済履歴!$C$2:$C$198,統合決済履歴!$G$2:$G$198,"Money added",統合決済履歴!$D$2:$D$198,"GBP",統合決済履歴!$F$2:$F$198,"COMPLETED",統合決済履歴!$J$2:$J$198,"除外",統合決済履歴!$K$2:$K$198,"2026-08")</f>
        <v/>
      </c>
      <c r="C140" s="31">
        <f>SUMIFS(統合決済履歴!$C$2:$C$198,統合決済履歴!$G$2:$G$198,"Money added",統合決済履歴!$D$2:$D$198,"EUR",統合決済履歴!$F$2:$F$198,"COMPLETED",統合決済履歴!$J$2:$J$198,"除外",統合決済履歴!$K$2:$K$198,"2026-08")</f>
        <v/>
      </c>
      <c r="D140" s="31">
        <f>SUMIFS(統合決済履歴!$C$2:$C$198,統合決済履歴!$G$2:$G$198,"Money added",統合決済履歴!$D$2:$D$198,"JPY",統合決済履歴!$F$2:$F$198,"COMPLETED",統合決済履歴!$J$2:$J$198,"除外",統合決済履歴!$K$2:$K$198,"2026-08")</f>
        <v/>
      </c>
      <c r="E140" s="32">
        <f>B140*設定!$B$3+C140*設定!$B$4+D140</f>
        <v/>
      </c>
    </row>
    <row r="141">
      <c r="A141" s="30" t="inlineStr">
        <is>
          <t>Personal care</t>
        </is>
      </c>
      <c r="B141" s="31">
        <f>SUMIFS(統合決済履歴!$C$2:$C$198,統合決済履歴!$G$2:$G$198,"Personal care",統合決済履歴!$D$2:$D$198,"GBP",統合決済履歴!$F$2:$F$198,"COMPLETED",統合決済履歴!$J$2:$J$198,"除外",統合決済履歴!$K$2:$K$198,"2026-08")</f>
        <v/>
      </c>
      <c r="C141" s="31">
        <f>SUMIFS(統合決済履歴!$C$2:$C$198,統合決済履歴!$G$2:$G$198,"Personal care",統合決済履歴!$D$2:$D$198,"EUR",統合決済履歴!$F$2:$F$198,"COMPLETED",統合決済履歴!$J$2:$J$198,"除外",統合決済履歴!$K$2:$K$198,"2026-08")</f>
        <v/>
      </c>
      <c r="D141" s="31">
        <f>SUMIFS(統合決済履歴!$C$2:$C$198,統合決済履歴!$G$2:$G$198,"Personal care",統合決済履歴!$D$2:$D$198,"JPY",統合決済履歴!$F$2:$F$198,"COMPLETED",統合決済履歴!$J$2:$J$198,"除外",統合決済履歴!$K$2:$K$198,"2026-08")</f>
        <v/>
      </c>
      <c r="E141" s="32">
        <f>B141*設定!$B$3+C141*設定!$B$4+D141</f>
        <v/>
      </c>
    </row>
    <row r="142">
      <c r="A142" s="30" t="inlineStr">
        <is>
          <t>Shopping</t>
        </is>
      </c>
      <c r="B142" s="31">
        <f>SUMIFS(統合決済履歴!$C$2:$C$198,統合決済履歴!$G$2:$G$198,"Shopping",統合決済履歴!$D$2:$D$198,"GBP",統合決済履歴!$F$2:$F$198,"COMPLETED",統合決済履歴!$J$2:$J$198,"除外",統合決済履歴!$K$2:$K$198,"2026-08")</f>
        <v/>
      </c>
      <c r="C142" s="31">
        <f>SUMIFS(統合決済履歴!$C$2:$C$198,統合決済履歴!$G$2:$G$198,"Shopping",統合決済履歴!$D$2:$D$198,"EUR",統合決済履歴!$F$2:$F$198,"COMPLETED",統合決済履歴!$J$2:$J$198,"除外",統合決済履歴!$K$2:$K$198,"2026-08")</f>
        <v/>
      </c>
      <c r="D142" s="31">
        <f>SUMIFS(統合決済履歴!$C$2:$C$198,統合決済履歴!$G$2:$G$198,"Shopping",統合決済履歴!$D$2:$D$198,"JPY",統合決済履歴!$F$2:$F$198,"COMPLETED",統合決済履歴!$J$2:$J$198,"除外",統合決済履歴!$K$2:$K$198,"2026-08")</f>
        <v/>
      </c>
      <c r="E142" s="32">
        <f>B142*設定!$B$3+C142*設定!$B$4+D142</f>
        <v/>
      </c>
    </row>
    <row r="143">
      <c r="A143" s="30" t="inlineStr">
        <is>
          <t>Transport</t>
        </is>
      </c>
      <c r="B143" s="31">
        <f>SUMIFS(統合決済履歴!$C$2:$C$198,統合決済履歴!$G$2:$G$198,"Transport",統合決済履歴!$D$2:$D$198,"GBP",統合決済履歴!$F$2:$F$198,"COMPLETED",統合決済履歴!$J$2:$J$198,"除外",統合決済履歴!$K$2:$K$198,"2026-08")</f>
        <v/>
      </c>
      <c r="C143" s="31">
        <f>SUMIFS(統合決済履歴!$C$2:$C$198,統合決済履歴!$G$2:$G$198,"Transport",統合決済履歴!$D$2:$D$198,"EUR",統合決済履歴!$F$2:$F$198,"COMPLETED",統合決済履歴!$J$2:$J$198,"除外",統合決済履歴!$K$2:$K$198,"2026-08")</f>
        <v/>
      </c>
      <c r="D143" s="31">
        <f>SUMIFS(統合決済履歴!$C$2:$C$198,統合決済履歴!$G$2:$G$198,"Transport",統合決済履歴!$D$2:$D$198,"JPY",統合決済履歴!$F$2:$F$198,"COMPLETED",統合決済履歴!$J$2:$J$198,"除外",統合決済履歴!$K$2:$K$198,"2026-08")</f>
        <v/>
      </c>
      <c r="E143" s="32">
        <f>B143*設定!$B$3+C143*設定!$B$4+D143</f>
        <v/>
      </c>
    </row>
    <row r="144">
      <c r="A144" s="36" t="inlineStr">
        <is>
          <t>合計</t>
        </is>
      </c>
      <c r="B144" s="37">
        <f>SUM(B134:B143)</f>
        <v/>
      </c>
      <c r="C144" s="37">
        <f>SUM(C134:C143)</f>
        <v/>
      </c>
      <c r="D144" s="37">
        <f>SUM(D134:D143)</f>
        <v/>
      </c>
      <c r="E144" s="38">
        <f>SUM(E134:E143)</f>
        <v/>
      </c>
    </row>
    <row r="147">
      <c r="A147" s="51" t="inlineStr">
        <is>
          <t>※10月分以降のデータを追加したら、この上に同じ形式のセクションを追加します。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/>
  <cols>
    <col width="30" customWidth="1" min="1" max="1"/>
    <col width="16" customWidth="1" min="2" max="5"/>
  </cols>
  <sheetData>
    <row r="1" ht="16.8" customHeight="1">
      <c r="A1" s="52" t="inlineStr">
        <is>
          <t>全期間合計</t>
        </is>
      </c>
    </row>
    <row r="2"/>
    <row r="3">
      <c r="A3" s="1" t="inlineStr">
        <is>
          <t>■ 聖也</t>
        </is>
      </c>
    </row>
    <row r="4">
      <c r="A4" s="6" t="inlineStr">
        <is>
          <t>カテゴリ</t>
        </is>
      </c>
      <c r="B4" s="29" t="inlineStr">
        <is>
          <t>GBP 合計</t>
        </is>
      </c>
      <c r="C4" s="29" t="inlineStr">
        <is>
          <t>EUR 合計</t>
        </is>
      </c>
      <c r="D4" s="29" t="inlineStr">
        <is>
          <t>JPY 合計</t>
        </is>
      </c>
      <c r="E4" s="29" t="inlineStr">
        <is>
          <t>JPY換算合計</t>
        </is>
      </c>
    </row>
    <row r="5">
      <c r="A5" s="30" t="inlineStr">
        <is>
          <t>Bills</t>
        </is>
      </c>
      <c r="B5" s="31">
        <f>SUMIFS(統合決済履歴!$C$2:$C$198,統合決済履歴!$G$2:$G$198,"Bills",統合決済履歴!$D$2:$D$198,"GBP",統合決済履歴!$F$2:$F$198,"COMPLETED",統合決済履歴!$J$2:$J$198,"聖也")</f>
        <v/>
      </c>
      <c r="C5" s="31">
        <f>SUMIFS(統合決済履歴!$C$2:$C$198,統合決済履歴!$G$2:$G$198,"Bills",統合決済履歴!$D$2:$D$198,"EUR",統合決済履歴!$F$2:$F$198,"COMPLETED",統合決済履歴!$J$2:$J$198,"聖也")</f>
        <v/>
      </c>
      <c r="D5" s="31">
        <f>SUMIFS(統合決済履歴!$C$2:$C$198,統合決済履歴!$G$2:$G$198,"Bills",統合決済履歴!$D$2:$D$198,"JPY",統合決済履歴!$F$2:$F$198,"COMPLETED",統合決済履歴!$J$2:$J$198,"聖也")</f>
        <v/>
      </c>
      <c r="E5" s="32">
        <f>B5*設定!$B$3+C5*設定!$B$4+D5</f>
        <v/>
      </c>
    </row>
    <row r="6">
      <c r="A6" s="30" t="inlineStr">
        <is>
          <t>Eating out</t>
        </is>
      </c>
      <c r="B6" s="31">
        <f>SUMIFS(統合決済履歴!$C$2:$C$198,統合決済履歴!$G$2:$G$198,"Eating out",統合決済履歴!$D$2:$D$198,"GBP",統合決済履歴!$F$2:$F$198,"COMPLETED",統合決済履歴!$J$2:$J$198,"聖也")</f>
        <v/>
      </c>
      <c r="C6" s="31">
        <f>SUMIFS(統合決済履歴!$C$2:$C$198,統合決済履歴!$G$2:$G$198,"Eating out",統合決済履歴!$D$2:$D$198,"EUR",統合決済履歴!$F$2:$F$198,"COMPLETED",統合決済履歴!$J$2:$J$198,"聖也")</f>
        <v/>
      </c>
      <c r="D6" s="31">
        <f>SUMIFS(統合決済履歴!$C$2:$C$198,統合決済履歴!$G$2:$G$198,"Eating out",統合決済履歴!$D$2:$D$198,"JPY",統合決済履歴!$F$2:$F$198,"COMPLETED",統合決済履歴!$J$2:$J$198,"聖也")</f>
        <v/>
      </c>
      <c r="E6" s="32">
        <f>B6*設定!$B$3+C6*設定!$B$4+D6</f>
        <v/>
      </c>
    </row>
    <row r="7">
      <c r="A7" s="30" t="inlineStr">
        <is>
          <t>Entertainment</t>
        </is>
      </c>
      <c r="B7" s="31">
        <f>SUMIFS(統合決済履歴!$C$2:$C$198,統合決済履歴!$G$2:$G$198,"Entertainment",統合決済履歴!$D$2:$D$198,"GBP",統合決済履歴!$F$2:$F$198,"COMPLETED",統合決済履歴!$J$2:$J$198,"聖也")</f>
        <v/>
      </c>
      <c r="C7" s="31">
        <f>SUMIFS(統合決済履歴!$C$2:$C$198,統合決済履歴!$G$2:$G$198,"Entertainment",統合決済履歴!$D$2:$D$198,"EUR",統合決済履歴!$F$2:$F$198,"COMPLETED",統合決済履歴!$J$2:$J$198,"聖也")</f>
        <v/>
      </c>
      <c r="D7" s="31">
        <f>SUMIFS(統合決済履歴!$C$2:$C$198,統合決済履歴!$G$2:$G$198,"Entertainment",統合決済履歴!$D$2:$D$198,"JPY",統合決済履歴!$F$2:$F$198,"COMPLETED",統合決済履歴!$J$2:$J$198,"聖也")</f>
        <v/>
      </c>
      <c r="E7" s="32">
        <f>B7*設定!$B$3+C7*設定!$B$4+D7</f>
        <v/>
      </c>
    </row>
    <row r="8">
      <c r="A8" s="30" t="inlineStr">
        <is>
          <t>Family</t>
        </is>
      </c>
      <c r="B8" s="31">
        <f>SUMIFS(統合決済履歴!$C$2:$C$198,統合決済履歴!$G$2:$G$198,"Family",統合決済履歴!$D$2:$D$198,"GBP",統合決済履歴!$F$2:$F$198,"COMPLETED",統合決済履歴!$J$2:$J$198,"聖也")</f>
        <v/>
      </c>
      <c r="C8" s="31">
        <f>SUMIFS(統合決済履歴!$C$2:$C$198,統合決済履歴!$G$2:$G$198,"Family",統合決済履歴!$D$2:$D$198,"EUR",統合決済履歴!$F$2:$F$198,"COMPLETED",統合決済履歴!$J$2:$J$198,"聖也")</f>
        <v/>
      </c>
      <c r="D8" s="31">
        <f>SUMIFS(統合決済履歴!$C$2:$C$198,統合決済履歴!$G$2:$G$198,"Family",統合決済履歴!$D$2:$D$198,"JPY",統合決済履歴!$F$2:$F$198,"COMPLETED",統合決済履歴!$J$2:$J$198,"聖也")</f>
        <v/>
      </c>
      <c r="E8" s="32">
        <f>B8*設定!$B$3+C8*設定!$B$4+D8</f>
        <v/>
      </c>
    </row>
    <row r="9">
      <c r="A9" s="30" t="inlineStr">
        <is>
          <t>General</t>
        </is>
      </c>
      <c r="B9" s="31">
        <f>SUMIFS(統合決済履歴!$C$2:$C$198,統合決済履歴!$G$2:$G$198,"General",統合決済履歴!$D$2:$D$198,"GBP",統合決済履歴!$F$2:$F$198,"COMPLETED",統合決済履歴!$J$2:$J$198,"聖也")</f>
        <v/>
      </c>
      <c r="C9" s="31">
        <f>SUMIFS(統合決済履歴!$C$2:$C$198,統合決済履歴!$G$2:$G$198,"General",統合決済履歴!$D$2:$D$198,"EUR",統合決済履歴!$F$2:$F$198,"COMPLETED",統合決済履歴!$J$2:$J$198,"聖也")</f>
        <v/>
      </c>
      <c r="D9" s="31">
        <f>SUMIFS(統合決済履歴!$C$2:$C$198,統合決済履歴!$G$2:$G$198,"General",統合決済履歴!$D$2:$D$198,"JPY",統合決済履歴!$F$2:$F$198,"COMPLETED",統合決済履歴!$J$2:$J$198,"聖也")</f>
        <v/>
      </c>
      <c r="E9" s="32">
        <f>B9*設定!$B$3+C9*設定!$B$4+D9</f>
        <v/>
      </c>
    </row>
    <row r="10">
      <c r="A10" s="30" t="inlineStr">
        <is>
          <t>Groceries</t>
        </is>
      </c>
      <c r="B10" s="31">
        <f>SUMIFS(統合決済履歴!$C$2:$C$198,統合決済履歴!$G$2:$G$198,"Groceries",統合決済履歴!$D$2:$D$198,"GBP",統合決済履歴!$F$2:$F$198,"COMPLETED",統合決済履歴!$J$2:$J$198,"聖也")</f>
        <v/>
      </c>
      <c r="C10" s="31">
        <f>SUMIFS(統合決済履歴!$C$2:$C$198,統合決済履歴!$G$2:$G$198,"Groceries",統合決済履歴!$D$2:$D$198,"EUR",統合決済履歴!$F$2:$F$198,"COMPLETED",統合決済履歴!$J$2:$J$198,"聖也")</f>
        <v/>
      </c>
      <c r="D10" s="31">
        <f>SUMIFS(統合決済履歴!$C$2:$C$198,統合決済履歴!$G$2:$G$198,"Groceries",統合決済履歴!$D$2:$D$198,"JPY",統合決済履歴!$F$2:$F$198,"COMPLETED",統合決済履歴!$J$2:$J$198,"聖也")</f>
        <v/>
      </c>
      <c r="E10" s="32">
        <f>B10*設定!$B$3+C10*設定!$B$4+D10</f>
        <v/>
      </c>
    </row>
    <row r="11">
      <c r="A11" s="30" t="inlineStr">
        <is>
          <t>Money added</t>
        </is>
      </c>
      <c r="B11" s="31">
        <f>SUMIFS(統合決済履歴!$C$2:$C$198,統合決済履歴!$G$2:$G$198,"Money added",統合決済履歴!$D$2:$D$198,"GBP",統合決済履歴!$F$2:$F$198,"COMPLETED",統合決済履歴!$J$2:$J$198,"聖也")</f>
        <v/>
      </c>
      <c r="C11" s="31">
        <f>SUMIFS(統合決済履歴!$C$2:$C$198,統合決済履歴!$G$2:$G$198,"Money added",統合決済履歴!$D$2:$D$198,"EUR",統合決済履歴!$F$2:$F$198,"COMPLETED",統合決済履歴!$J$2:$J$198,"聖也")</f>
        <v/>
      </c>
      <c r="D11" s="31">
        <f>SUMIFS(統合決済履歴!$C$2:$C$198,統合決済履歴!$G$2:$G$198,"Money added",統合決済履歴!$D$2:$D$198,"JPY",統合決済履歴!$F$2:$F$198,"COMPLETED",統合決済履歴!$J$2:$J$198,"聖也")</f>
        <v/>
      </c>
      <c r="E11" s="32">
        <f>B11*設定!$B$3+C11*設定!$B$4+D11</f>
        <v/>
      </c>
    </row>
    <row r="12">
      <c r="A12" s="30" t="inlineStr">
        <is>
          <t>Personal care</t>
        </is>
      </c>
      <c r="B12" s="31">
        <f>SUMIFS(統合決済履歴!$C$2:$C$198,統合決済履歴!$G$2:$G$198,"Personal care",統合決済履歴!$D$2:$D$198,"GBP",統合決済履歴!$F$2:$F$198,"COMPLETED",統合決済履歴!$J$2:$J$198,"聖也")</f>
        <v/>
      </c>
      <c r="C12" s="31">
        <f>SUMIFS(統合決済履歴!$C$2:$C$198,統合決済履歴!$G$2:$G$198,"Personal care",統合決済履歴!$D$2:$D$198,"EUR",統合決済履歴!$F$2:$F$198,"COMPLETED",統合決済履歴!$J$2:$J$198,"聖也")</f>
        <v/>
      </c>
      <c r="D12" s="31">
        <f>SUMIFS(統合決済履歴!$C$2:$C$198,統合決済履歴!$G$2:$G$198,"Personal care",統合決済履歴!$D$2:$D$198,"JPY",統合決済履歴!$F$2:$F$198,"COMPLETED",統合決済履歴!$J$2:$J$198,"聖也")</f>
        <v/>
      </c>
      <c r="E12" s="32">
        <f>B12*設定!$B$3+C12*設定!$B$4+D12</f>
        <v/>
      </c>
    </row>
    <row r="13">
      <c r="A13" s="30" t="inlineStr">
        <is>
          <t>Shopping</t>
        </is>
      </c>
      <c r="B13" s="31">
        <f>SUMIFS(統合決済履歴!$C$2:$C$198,統合決済履歴!$G$2:$G$198,"Shopping",統合決済履歴!$D$2:$D$198,"GBP",統合決済履歴!$F$2:$F$198,"COMPLETED",統合決済履歴!$J$2:$J$198,"聖也")</f>
        <v/>
      </c>
      <c r="C13" s="31">
        <f>SUMIFS(統合決済履歴!$C$2:$C$198,統合決済履歴!$G$2:$G$198,"Shopping",統合決済履歴!$D$2:$D$198,"EUR",統合決済履歴!$F$2:$F$198,"COMPLETED",統合決済履歴!$J$2:$J$198,"聖也")</f>
        <v/>
      </c>
      <c r="D13" s="31">
        <f>SUMIFS(統合決済履歴!$C$2:$C$198,統合決済履歴!$G$2:$G$198,"Shopping",統合決済履歴!$D$2:$D$198,"JPY",統合決済履歴!$F$2:$F$198,"COMPLETED",統合決済履歴!$J$2:$J$198,"聖也")</f>
        <v/>
      </c>
      <c r="E13" s="32">
        <f>B13*設定!$B$3+C13*設定!$B$4+D13</f>
        <v/>
      </c>
    </row>
    <row r="14">
      <c r="A14" s="30" t="inlineStr">
        <is>
          <t>Transport</t>
        </is>
      </c>
      <c r="B14" s="31">
        <f>SUMIFS(統合決済履歴!$C$2:$C$198,統合決済履歴!$G$2:$G$198,"Transport",統合決済履歴!$D$2:$D$198,"GBP",統合決済履歴!$F$2:$F$198,"COMPLETED",統合決済履歴!$J$2:$J$198,"聖也")</f>
        <v/>
      </c>
      <c r="C14" s="31">
        <f>SUMIFS(統合決済履歴!$C$2:$C$198,統合決済履歴!$G$2:$G$198,"Transport",統合決済履歴!$D$2:$D$198,"EUR",統合決済履歴!$F$2:$F$198,"COMPLETED",統合決済履歴!$J$2:$J$198,"聖也")</f>
        <v/>
      </c>
      <c r="D14" s="31">
        <f>SUMIFS(統合決済履歴!$C$2:$C$198,統合決済履歴!$G$2:$G$198,"Transport",統合決済履歴!$D$2:$D$198,"JPY",統合決済履歴!$F$2:$F$198,"COMPLETED",統合決済履歴!$J$2:$J$198,"聖也")</f>
        <v/>
      </c>
      <c r="E14" s="32">
        <f>B14*設定!$B$3+C14*設定!$B$4+D14</f>
        <v/>
      </c>
    </row>
    <row r="15">
      <c r="A15" s="36" t="inlineStr">
        <is>
          <t>合計</t>
        </is>
      </c>
      <c r="B15" s="37">
        <f>SUM(B5:B14)</f>
        <v/>
      </c>
      <c r="C15" s="37">
        <f>SUM(C5:C14)</f>
        <v/>
      </c>
      <c r="D15" s="37">
        <f>SUM(D5:D14)</f>
        <v/>
      </c>
      <c r="E15" s="38">
        <f>SUM(E5:E14)</f>
        <v/>
      </c>
    </row>
    <row r="16"/>
    <row r="17">
      <c r="A17" s="1" t="inlineStr">
        <is>
          <t>■ 愛弓</t>
        </is>
      </c>
    </row>
    <row r="18">
      <c r="A18" s="6" t="inlineStr">
        <is>
          <t>カテゴリ</t>
        </is>
      </c>
      <c r="B18" s="29" t="inlineStr">
        <is>
          <t>GBP 合計</t>
        </is>
      </c>
      <c r="C18" s="29" t="inlineStr">
        <is>
          <t>EUR 合計</t>
        </is>
      </c>
      <c r="D18" s="29" t="inlineStr">
        <is>
          <t>JPY 合計</t>
        </is>
      </c>
      <c r="E18" s="29" t="inlineStr">
        <is>
          <t>JPY換算合計</t>
        </is>
      </c>
    </row>
    <row r="19">
      <c r="A19" s="30" t="inlineStr">
        <is>
          <t>Bills</t>
        </is>
      </c>
      <c r="B19" s="31">
        <f>SUMIFS(統合決済履歴!$C$2:$C$198,統合決済履歴!$G$2:$G$198,"Bills",統合決済履歴!$D$2:$D$198,"GBP",統合決済履歴!$F$2:$F$198,"COMPLETED",統合決済履歴!$J$2:$J$198,"愛弓")</f>
        <v/>
      </c>
      <c r="C19" s="31">
        <f>SUMIFS(統合決済履歴!$C$2:$C$198,統合決済履歴!$G$2:$G$198,"Bills",統合決済履歴!$D$2:$D$198,"EUR",統合決済履歴!$F$2:$F$198,"COMPLETED",統合決済履歴!$J$2:$J$198,"愛弓")</f>
        <v/>
      </c>
      <c r="D19" s="31">
        <f>SUMIFS(統合決済履歴!$C$2:$C$198,統合決済履歴!$G$2:$G$198,"Bills",統合決済履歴!$D$2:$D$198,"JPY",統合決済履歴!$F$2:$F$198,"COMPLETED",統合決済履歴!$J$2:$J$198,"愛弓")</f>
        <v/>
      </c>
      <c r="E19" s="32">
        <f>B19*設定!$B$3+C19*設定!$B$4+D19</f>
        <v/>
      </c>
    </row>
    <row r="20">
      <c r="A20" s="30" t="inlineStr">
        <is>
          <t>Eating out</t>
        </is>
      </c>
      <c r="B20" s="31">
        <f>SUMIFS(統合決済履歴!$C$2:$C$198,統合決済履歴!$G$2:$G$198,"Eating out",統合決済履歴!$D$2:$D$198,"GBP",統合決済履歴!$F$2:$F$198,"COMPLETED",統合決済履歴!$J$2:$J$198,"愛弓")</f>
        <v/>
      </c>
      <c r="C20" s="31">
        <f>SUMIFS(統合決済履歴!$C$2:$C$198,統合決済履歴!$G$2:$G$198,"Eating out",統合決済履歴!$D$2:$D$198,"EUR",統合決済履歴!$F$2:$F$198,"COMPLETED",統合決済履歴!$J$2:$J$198,"愛弓")</f>
        <v/>
      </c>
      <c r="D20" s="31">
        <f>SUMIFS(統合決済履歴!$C$2:$C$198,統合決済履歴!$G$2:$G$198,"Eating out",統合決済履歴!$D$2:$D$198,"JPY",統合決済履歴!$F$2:$F$198,"COMPLETED",統合決済履歴!$J$2:$J$198,"愛弓")</f>
        <v/>
      </c>
      <c r="E20" s="32">
        <f>B20*設定!$B$3+C20*設定!$B$4+D20</f>
        <v/>
      </c>
    </row>
    <row r="21">
      <c r="A21" s="30" t="inlineStr">
        <is>
          <t>Entertainment</t>
        </is>
      </c>
      <c r="B21" s="31">
        <f>SUMIFS(統合決済履歴!$C$2:$C$198,統合決済履歴!$G$2:$G$198,"Entertainment",統合決済履歴!$D$2:$D$198,"GBP",統合決済履歴!$F$2:$F$198,"COMPLETED",統合決済履歴!$J$2:$J$198,"愛弓")</f>
        <v/>
      </c>
      <c r="C21" s="31">
        <f>SUMIFS(統合決済履歴!$C$2:$C$198,統合決済履歴!$G$2:$G$198,"Entertainment",統合決済履歴!$D$2:$D$198,"EUR",統合決済履歴!$F$2:$F$198,"COMPLETED",統合決済履歴!$J$2:$J$198,"愛弓")</f>
        <v/>
      </c>
      <c r="D21" s="31">
        <f>SUMIFS(統合決済履歴!$C$2:$C$198,統合決済履歴!$G$2:$G$198,"Entertainment",統合決済履歴!$D$2:$D$198,"JPY",統合決済履歴!$F$2:$F$198,"COMPLETED",統合決済履歴!$J$2:$J$198,"愛弓")</f>
        <v/>
      </c>
      <c r="E21" s="32">
        <f>B21*設定!$B$3+C21*設定!$B$4+D21</f>
        <v/>
      </c>
    </row>
    <row r="22">
      <c r="A22" s="30" t="inlineStr">
        <is>
          <t>Family</t>
        </is>
      </c>
      <c r="B22" s="31">
        <f>SUMIFS(統合決済履歴!$C$2:$C$198,統合決済履歴!$G$2:$G$198,"Family",統合決済履歴!$D$2:$D$198,"GBP",統合決済履歴!$F$2:$F$198,"COMPLETED",統合決済履歴!$J$2:$J$198,"愛弓")</f>
        <v/>
      </c>
      <c r="C22" s="31">
        <f>SUMIFS(統合決済履歴!$C$2:$C$198,統合決済履歴!$G$2:$G$198,"Family",統合決済履歴!$D$2:$D$198,"EUR",統合決済履歴!$F$2:$F$198,"COMPLETED",統合決済履歴!$J$2:$J$198,"愛弓")</f>
        <v/>
      </c>
      <c r="D22" s="31">
        <f>SUMIFS(統合決済履歴!$C$2:$C$198,統合決済履歴!$G$2:$G$198,"Family",統合決済履歴!$D$2:$D$198,"JPY",統合決済履歴!$F$2:$F$198,"COMPLETED",統合決済履歴!$J$2:$J$198,"愛弓")</f>
        <v/>
      </c>
      <c r="E22" s="32">
        <f>B22*設定!$B$3+C22*設定!$B$4+D22</f>
        <v/>
      </c>
    </row>
    <row r="23">
      <c r="A23" s="30" t="inlineStr">
        <is>
          <t>General</t>
        </is>
      </c>
      <c r="B23" s="31">
        <f>SUMIFS(統合決済履歴!$C$2:$C$198,統合決済履歴!$G$2:$G$198,"General",統合決済履歴!$D$2:$D$198,"GBP",統合決済履歴!$F$2:$F$198,"COMPLETED",統合決済履歴!$J$2:$J$198,"愛弓")</f>
        <v/>
      </c>
      <c r="C23" s="31">
        <f>SUMIFS(統合決済履歴!$C$2:$C$198,統合決済履歴!$G$2:$G$198,"General",統合決済履歴!$D$2:$D$198,"EUR",統合決済履歴!$F$2:$F$198,"COMPLETED",統合決済履歴!$J$2:$J$198,"愛弓")</f>
        <v/>
      </c>
      <c r="D23" s="31">
        <f>SUMIFS(統合決済履歴!$C$2:$C$198,統合決済履歴!$G$2:$G$198,"General",統合決済履歴!$D$2:$D$198,"JPY",統合決済履歴!$F$2:$F$198,"COMPLETED",統合決済履歴!$J$2:$J$198,"愛弓")</f>
        <v/>
      </c>
      <c r="E23" s="32">
        <f>B23*設定!$B$3+C23*設定!$B$4+D23</f>
        <v/>
      </c>
    </row>
    <row r="24">
      <c r="A24" s="30" t="inlineStr">
        <is>
          <t>Groceries</t>
        </is>
      </c>
      <c r="B24" s="31">
        <f>SUMIFS(統合決済履歴!$C$2:$C$198,統合決済履歴!$G$2:$G$198,"Groceries",統合決済履歴!$D$2:$D$198,"GBP",統合決済履歴!$F$2:$F$198,"COMPLETED",統合決済履歴!$J$2:$J$198,"愛弓")</f>
        <v/>
      </c>
      <c r="C24" s="31">
        <f>SUMIFS(統合決済履歴!$C$2:$C$198,統合決済履歴!$G$2:$G$198,"Groceries",統合決済履歴!$D$2:$D$198,"EUR",統合決済履歴!$F$2:$F$198,"COMPLETED",統合決済履歴!$J$2:$J$198,"愛弓")</f>
        <v/>
      </c>
      <c r="D24" s="31">
        <f>SUMIFS(統合決済履歴!$C$2:$C$198,統合決済履歴!$G$2:$G$198,"Groceries",統合決済履歴!$D$2:$D$198,"JPY",統合決済履歴!$F$2:$F$198,"COMPLETED",統合決済履歴!$J$2:$J$198,"愛弓")</f>
        <v/>
      </c>
      <c r="E24" s="32">
        <f>B24*設定!$B$3+C24*設定!$B$4+D24</f>
        <v/>
      </c>
    </row>
    <row r="25">
      <c r="A25" s="30" t="inlineStr">
        <is>
          <t>Money added</t>
        </is>
      </c>
      <c r="B25" s="31">
        <f>SUMIFS(統合決済履歴!$C$2:$C$198,統合決済履歴!$G$2:$G$198,"Money added",統合決済履歴!$D$2:$D$198,"GBP",統合決済履歴!$F$2:$F$198,"COMPLETED",統合決済履歴!$J$2:$J$198,"愛弓")</f>
        <v/>
      </c>
      <c r="C25" s="31">
        <f>SUMIFS(統合決済履歴!$C$2:$C$198,統合決済履歴!$G$2:$G$198,"Money added",統合決済履歴!$D$2:$D$198,"EUR",統合決済履歴!$F$2:$F$198,"COMPLETED",統合決済履歴!$J$2:$J$198,"愛弓")</f>
        <v/>
      </c>
      <c r="D25" s="31">
        <f>SUMIFS(統合決済履歴!$C$2:$C$198,統合決済履歴!$G$2:$G$198,"Money added",統合決済履歴!$D$2:$D$198,"JPY",統合決済履歴!$F$2:$F$198,"COMPLETED",統合決済履歴!$J$2:$J$198,"愛弓")</f>
        <v/>
      </c>
      <c r="E25" s="32">
        <f>B25*設定!$B$3+C25*設定!$B$4+D25</f>
        <v/>
      </c>
    </row>
    <row r="26">
      <c r="A26" s="30" t="inlineStr">
        <is>
          <t>Personal care</t>
        </is>
      </c>
      <c r="B26" s="31">
        <f>SUMIFS(統合決済履歴!$C$2:$C$198,統合決済履歴!$G$2:$G$198,"Personal care",統合決済履歴!$D$2:$D$198,"GBP",統合決済履歴!$F$2:$F$198,"COMPLETED",統合決済履歴!$J$2:$J$198,"愛弓")</f>
        <v/>
      </c>
      <c r="C26" s="31">
        <f>SUMIFS(統合決済履歴!$C$2:$C$198,統合決済履歴!$G$2:$G$198,"Personal care",統合決済履歴!$D$2:$D$198,"EUR",統合決済履歴!$F$2:$F$198,"COMPLETED",統合決済履歴!$J$2:$J$198,"愛弓")</f>
        <v/>
      </c>
      <c r="D26" s="31">
        <f>SUMIFS(統合決済履歴!$C$2:$C$198,統合決済履歴!$G$2:$G$198,"Personal care",統合決済履歴!$D$2:$D$198,"JPY",統合決済履歴!$F$2:$F$198,"COMPLETED",統合決済履歴!$J$2:$J$198,"愛弓")</f>
        <v/>
      </c>
      <c r="E26" s="32">
        <f>B26*設定!$B$3+C26*設定!$B$4+D26</f>
        <v/>
      </c>
    </row>
    <row r="27">
      <c r="A27" s="30" t="inlineStr">
        <is>
          <t>Shopping</t>
        </is>
      </c>
      <c r="B27" s="31">
        <f>SUMIFS(統合決済履歴!$C$2:$C$198,統合決済履歴!$G$2:$G$198,"Shopping",統合決済履歴!$D$2:$D$198,"GBP",統合決済履歴!$F$2:$F$198,"COMPLETED",統合決済履歴!$J$2:$J$198,"愛弓")</f>
        <v/>
      </c>
      <c r="C27" s="31">
        <f>SUMIFS(統合決済履歴!$C$2:$C$198,統合決済履歴!$G$2:$G$198,"Shopping",統合決済履歴!$D$2:$D$198,"EUR",統合決済履歴!$F$2:$F$198,"COMPLETED",統合決済履歴!$J$2:$J$198,"愛弓")</f>
        <v/>
      </c>
      <c r="D27" s="31">
        <f>SUMIFS(統合決済履歴!$C$2:$C$198,統合決済履歴!$G$2:$G$198,"Shopping",統合決済履歴!$D$2:$D$198,"JPY",統合決済履歴!$F$2:$F$198,"COMPLETED",統合決済履歴!$J$2:$J$198,"愛弓")</f>
        <v/>
      </c>
      <c r="E27" s="32">
        <f>B27*設定!$B$3+C27*設定!$B$4+D27</f>
        <v/>
      </c>
    </row>
    <row r="28">
      <c r="A28" s="30" t="inlineStr">
        <is>
          <t>Transport</t>
        </is>
      </c>
      <c r="B28" s="31">
        <f>SUMIFS(統合決済履歴!$C$2:$C$198,統合決済履歴!$G$2:$G$198,"Transport",統合決済履歴!$D$2:$D$198,"GBP",統合決済履歴!$F$2:$F$198,"COMPLETED",統合決済履歴!$J$2:$J$198,"愛弓")</f>
        <v/>
      </c>
      <c r="C28" s="31">
        <f>SUMIFS(統合決済履歴!$C$2:$C$198,統合決済履歴!$G$2:$G$198,"Transport",統合決済履歴!$D$2:$D$198,"EUR",統合決済履歴!$F$2:$F$198,"COMPLETED",統合決済履歴!$J$2:$J$198,"愛弓")</f>
        <v/>
      </c>
      <c r="D28" s="31">
        <f>SUMIFS(統合決済履歴!$C$2:$C$198,統合決済履歴!$G$2:$G$198,"Transport",統合決済履歴!$D$2:$D$198,"JPY",統合決済履歴!$F$2:$F$198,"COMPLETED",統合決済履歴!$J$2:$J$198,"愛弓")</f>
        <v/>
      </c>
      <c r="E28" s="32">
        <f>B28*設定!$B$3+C28*設定!$B$4+D28</f>
        <v/>
      </c>
    </row>
    <row r="29">
      <c r="A29" s="36" t="inlineStr">
        <is>
          <t>合計</t>
        </is>
      </c>
      <c r="B29" s="37">
        <f>SUM(B19:B28)</f>
        <v/>
      </c>
      <c r="C29" s="37">
        <f>SUM(C19:C28)</f>
        <v/>
      </c>
      <c r="D29" s="37">
        <f>SUM(D19:D28)</f>
        <v/>
      </c>
      <c r="E29" s="38">
        <f>SUM(E19:E28)</f>
        <v/>
      </c>
    </row>
    <row r="30"/>
    <row r="31">
      <c r="A31" s="1" t="inlineStr">
        <is>
          <t>■ 共通</t>
        </is>
      </c>
    </row>
    <row r="32">
      <c r="A32" s="6" t="inlineStr">
        <is>
          <t>カテゴリ</t>
        </is>
      </c>
      <c r="B32" s="29" t="inlineStr">
        <is>
          <t>GBP 合計</t>
        </is>
      </c>
      <c r="C32" s="29" t="inlineStr">
        <is>
          <t>EUR 合計</t>
        </is>
      </c>
      <c r="D32" s="29" t="inlineStr">
        <is>
          <t>JPY 合計</t>
        </is>
      </c>
      <c r="E32" s="29" t="inlineStr">
        <is>
          <t>JPY換算合計</t>
        </is>
      </c>
    </row>
    <row r="33">
      <c r="A33" s="30" t="inlineStr">
        <is>
          <t>Bills</t>
        </is>
      </c>
      <c r="B33" s="31">
        <f>SUMIFS(統合決済履歴!$C$2:$C$198,統合決済履歴!$G$2:$G$198,"Bills",統合決済履歴!$D$2:$D$198,"GBP",統合決済履歴!$F$2:$F$198,"COMPLETED",統合決済履歴!$J$2:$J$198,"共通")</f>
        <v/>
      </c>
      <c r="C33" s="31">
        <f>SUMIFS(統合決済履歴!$C$2:$C$198,統合決済履歴!$G$2:$G$198,"Bills",統合決済履歴!$D$2:$D$198,"EUR",統合決済履歴!$F$2:$F$198,"COMPLETED",統合決済履歴!$J$2:$J$198,"共通")</f>
        <v/>
      </c>
      <c r="D33" s="31">
        <f>SUMIFS(統合決済履歴!$C$2:$C$198,統合決済履歴!$G$2:$G$198,"Bills",統合決済履歴!$D$2:$D$198,"JPY",統合決済履歴!$F$2:$F$198,"COMPLETED",統合決済履歴!$J$2:$J$198,"共通")</f>
        <v/>
      </c>
      <c r="E33" s="32">
        <f>B33*設定!$B$3+C33*設定!$B$4+D33</f>
        <v/>
      </c>
    </row>
    <row r="34">
      <c r="A34" s="30" t="inlineStr">
        <is>
          <t>Eating out</t>
        </is>
      </c>
      <c r="B34" s="31">
        <f>SUMIFS(統合決済履歴!$C$2:$C$198,統合決済履歴!$G$2:$G$198,"Eating out",統合決済履歴!$D$2:$D$198,"GBP",統合決済履歴!$F$2:$F$198,"COMPLETED",統合決済履歴!$J$2:$J$198,"共通")</f>
        <v/>
      </c>
      <c r="C34" s="31">
        <f>SUMIFS(統合決済履歴!$C$2:$C$198,統合決済履歴!$G$2:$G$198,"Eating out",統合決済履歴!$D$2:$D$198,"EUR",統合決済履歴!$F$2:$F$198,"COMPLETED",統合決済履歴!$J$2:$J$198,"共通")</f>
        <v/>
      </c>
      <c r="D34" s="31">
        <f>SUMIFS(統合決済履歴!$C$2:$C$198,統合決済履歴!$G$2:$G$198,"Eating out",統合決済履歴!$D$2:$D$198,"JPY",統合決済履歴!$F$2:$F$198,"COMPLETED",統合決済履歴!$J$2:$J$198,"共通")</f>
        <v/>
      </c>
      <c r="E34" s="32">
        <f>B34*設定!$B$3+C34*設定!$B$4+D34</f>
        <v/>
      </c>
    </row>
    <row r="35">
      <c r="A35" s="30" t="inlineStr">
        <is>
          <t>Entertainment</t>
        </is>
      </c>
      <c r="B35" s="31">
        <f>SUMIFS(統合決済履歴!$C$2:$C$198,統合決済履歴!$G$2:$G$198,"Entertainment",統合決済履歴!$D$2:$D$198,"GBP",統合決済履歴!$F$2:$F$198,"COMPLETED",統合決済履歴!$J$2:$J$198,"共通")</f>
        <v/>
      </c>
      <c r="C35" s="31">
        <f>SUMIFS(統合決済履歴!$C$2:$C$198,統合決済履歴!$G$2:$G$198,"Entertainment",統合決済履歴!$D$2:$D$198,"EUR",統合決済履歴!$F$2:$F$198,"COMPLETED",統合決済履歴!$J$2:$J$198,"共通")</f>
        <v/>
      </c>
      <c r="D35" s="31">
        <f>SUMIFS(統合決済履歴!$C$2:$C$198,統合決済履歴!$G$2:$G$198,"Entertainment",統合決済履歴!$D$2:$D$198,"JPY",統合決済履歴!$F$2:$F$198,"COMPLETED",統合決済履歴!$J$2:$J$198,"共通")</f>
        <v/>
      </c>
      <c r="E35" s="32">
        <f>B35*設定!$B$3+C35*設定!$B$4+D35</f>
        <v/>
      </c>
    </row>
    <row r="36">
      <c r="A36" s="30" t="inlineStr">
        <is>
          <t>Family</t>
        </is>
      </c>
      <c r="B36" s="31">
        <f>SUMIFS(統合決済履歴!$C$2:$C$198,統合決済履歴!$G$2:$G$198,"Family",統合決済履歴!$D$2:$D$198,"GBP",統合決済履歴!$F$2:$F$198,"COMPLETED",統合決済履歴!$J$2:$J$198,"共通")</f>
        <v/>
      </c>
      <c r="C36" s="31">
        <f>SUMIFS(統合決済履歴!$C$2:$C$198,統合決済履歴!$G$2:$G$198,"Family",統合決済履歴!$D$2:$D$198,"EUR",統合決済履歴!$F$2:$F$198,"COMPLETED",統合決済履歴!$J$2:$J$198,"共通")</f>
        <v/>
      </c>
      <c r="D36" s="31">
        <f>SUMIFS(統合決済履歴!$C$2:$C$198,統合決済履歴!$G$2:$G$198,"Family",統合決済履歴!$D$2:$D$198,"JPY",統合決済履歴!$F$2:$F$198,"COMPLETED",統合決済履歴!$J$2:$J$198,"共通")</f>
        <v/>
      </c>
      <c r="E36" s="32">
        <f>B36*設定!$B$3+C36*設定!$B$4+D36</f>
        <v/>
      </c>
    </row>
    <row r="37">
      <c r="A37" s="30" t="inlineStr">
        <is>
          <t>General</t>
        </is>
      </c>
      <c r="B37" s="31">
        <f>SUMIFS(統合決済履歴!$C$2:$C$198,統合決済履歴!$G$2:$G$198,"General",統合決済履歴!$D$2:$D$198,"GBP",統合決済履歴!$F$2:$F$198,"COMPLETED",統合決済履歴!$J$2:$J$198,"共通")</f>
        <v/>
      </c>
      <c r="C37" s="31">
        <f>SUMIFS(統合決済履歴!$C$2:$C$198,統合決済履歴!$G$2:$G$198,"General",統合決済履歴!$D$2:$D$198,"EUR",統合決済履歴!$F$2:$F$198,"COMPLETED",統合決済履歴!$J$2:$J$198,"共通")</f>
        <v/>
      </c>
      <c r="D37" s="31">
        <f>SUMIFS(統合決済履歴!$C$2:$C$198,統合決済履歴!$G$2:$G$198,"General",統合決済履歴!$D$2:$D$198,"JPY",統合決済履歴!$F$2:$F$198,"COMPLETED",統合決済履歴!$J$2:$J$198,"共通")</f>
        <v/>
      </c>
      <c r="E37" s="32">
        <f>B37*設定!$B$3+C37*設定!$B$4+D37</f>
        <v/>
      </c>
    </row>
    <row r="38">
      <c r="A38" s="30" t="inlineStr">
        <is>
          <t>Groceries</t>
        </is>
      </c>
      <c r="B38" s="31">
        <f>SUMIFS(統合決済履歴!$C$2:$C$198,統合決済履歴!$G$2:$G$198,"Groceries",統合決済履歴!$D$2:$D$198,"GBP",統合決済履歴!$F$2:$F$198,"COMPLETED",統合決済履歴!$J$2:$J$198,"共通")</f>
        <v/>
      </c>
      <c r="C38" s="31">
        <f>SUMIFS(統合決済履歴!$C$2:$C$198,統合決済履歴!$G$2:$G$198,"Groceries",統合決済履歴!$D$2:$D$198,"EUR",統合決済履歴!$F$2:$F$198,"COMPLETED",統合決済履歴!$J$2:$J$198,"共通")</f>
        <v/>
      </c>
      <c r="D38" s="31">
        <f>SUMIFS(統合決済履歴!$C$2:$C$198,統合決済履歴!$G$2:$G$198,"Groceries",統合決済履歴!$D$2:$D$198,"JPY",統合決済履歴!$F$2:$F$198,"COMPLETED",統合決済履歴!$J$2:$J$198,"共通")</f>
        <v/>
      </c>
      <c r="E38" s="32">
        <f>B38*設定!$B$3+C38*設定!$B$4+D38</f>
        <v/>
      </c>
    </row>
    <row r="39">
      <c r="A39" s="30" t="inlineStr">
        <is>
          <t>Money added</t>
        </is>
      </c>
      <c r="B39" s="31">
        <f>SUMIFS(統合決済履歴!$C$2:$C$198,統合決済履歴!$G$2:$G$198,"Money added",統合決済履歴!$D$2:$D$198,"GBP",統合決済履歴!$F$2:$F$198,"COMPLETED",統合決済履歴!$J$2:$J$198,"共通")</f>
        <v/>
      </c>
      <c r="C39" s="31">
        <f>SUMIFS(統合決済履歴!$C$2:$C$198,統合決済履歴!$G$2:$G$198,"Money added",統合決済履歴!$D$2:$D$198,"EUR",統合決済履歴!$F$2:$F$198,"COMPLETED",統合決済履歴!$J$2:$J$198,"共通")</f>
        <v/>
      </c>
      <c r="D39" s="31">
        <f>SUMIFS(統合決済履歴!$C$2:$C$198,統合決済履歴!$G$2:$G$198,"Money added",統合決済履歴!$D$2:$D$198,"JPY",統合決済履歴!$F$2:$F$198,"COMPLETED",統合決済履歴!$J$2:$J$198,"共通")</f>
        <v/>
      </c>
      <c r="E39" s="32">
        <f>B39*設定!$B$3+C39*設定!$B$4+D39</f>
        <v/>
      </c>
    </row>
    <row r="40">
      <c r="A40" s="30" t="inlineStr">
        <is>
          <t>Personal care</t>
        </is>
      </c>
      <c r="B40" s="31">
        <f>SUMIFS(統合決済履歴!$C$2:$C$198,統合決済履歴!$G$2:$G$198,"Personal care",統合決済履歴!$D$2:$D$198,"GBP",統合決済履歴!$F$2:$F$198,"COMPLETED",統合決済履歴!$J$2:$J$198,"共通")</f>
        <v/>
      </c>
      <c r="C40" s="31">
        <f>SUMIFS(統合決済履歴!$C$2:$C$198,統合決済履歴!$G$2:$G$198,"Personal care",統合決済履歴!$D$2:$D$198,"EUR",統合決済履歴!$F$2:$F$198,"COMPLETED",統合決済履歴!$J$2:$J$198,"共通")</f>
        <v/>
      </c>
      <c r="D40" s="31">
        <f>SUMIFS(統合決済履歴!$C$2:$C$198,統合決済履歴!$G$2:$G$198,"Personal care",統合決済履歴!$D$2:$D$198,"JPY",統合決済履歴!$F$2:$F$198,"COMPLETED",統合決済履歴!$J$2:$J$198,"共通")</f>
        <v/>
      </c>
      <c r="E40" s="32">
        <f>B40*設定!$B$3+C40*設定!$B$4+D40</f>
        <v/>
      </c>
    </row>
    <row r="41">
      <c r="A41" s="30" t="inlineStr">
        <is>
          <t>Shopping</t>
        </is>
      </c>
      <c r="B41" s="31">
        <f>SUMIFS(統合決済履歴!$C$2:$C$198,統合決済履歴!$G$2:$G$198,"Shopping",統合決済履歴!$D$2:$D$198,"GBP",統合決済履歴!$F$2:$F$198,"COMPLETED",統合決済履歴!$J$2:$J$198,"共通")</f>
        <v/>
      </c>
      <c r="C41" s="31">
        <f>SUMIFS(統合決済履歴!$C$2:$C$198,統合決済履歴!$G$2:$G$198,"Shopping",統合決済履歴!$D$2:$D$198,"EUR",統合決済履歴!$F$2:$F$198,"COMPLETED",統合決済履歴!$J$2:$J$198,"共通")</f>
        <v/>
      </c>
      <c r="D41" s="31">
        <f>SUMIFS(統合決済履歴!$C$2:$C$198,統合決済履歴!$G$2:$G$198,"Shopping",統合決済履歴!$D$2:$D$198,"JPY",統合決済履歴!$F$2:$F$198,"COMPLETED",統合決済履歴!$J$2:$J$198,"共通")</f>
        <v/>
      </c>
      <c r="E41" s="32">
        <f>B41*設定!$B$3+C41*設定!$B$4+D41</f>
        <v/>
      </c>
    </row>
    <row r="42">
      <c r="A42" s="30" t="inlineStr">
        <is>
          <t>Transport</t>
        </is>
      </c>
      <c r="B42" s="31">
        <f>SUMIFS(統合決済履歴!$C$2:$C$198,統合決済履歴!$G$2:$G$198,"Transport",統合決済履歴!$D$2:$D$198,"GBP",統合決済履歴!$F$2:$F$198,"COMPLETED",統合決済履歴!$J$2:$J$198,"共通")</f>
        <v/>
      </c>
      <c r="C42" s="31">
        <f>SUMIFS(統合決済履歴!$C$2:$C$198,統合決済履歴!$G$2:$G$198,"Transport",統合決済履歴!$D$2:$D$198,"EUR",統合決済履歴!$F$2:$F$198,"COMPLETED",統合決済履歴!$J$2:$J$198,"共通")</f>
        <v/>
      </c>
      <c r="D42" s="31">
        <f>SUMIFS(統合決済履歴!$C$2:$C$198,統合決済履歴!$G$2:$G$198,"Transport",統合決済履歴!$D$2:$D$198,"JPY",統合決済履歴!$F$2:$F$198,"COMPLETED",統合決済履歴!$J$2:$J$198,"共通")</f>
        <v/>
      </c>
      <c r="E42" s="32">
        <f>B42*設定!$B$3+C42*設定!$B$4+D42</f>
        <v/>
      </c>
    </row>
    <row r="43">
      <c r="A43" s="36" t="inlineStr">
        <is>
          <t>合計</t>
        </is>
      </c>
      <c r="B43" s="37">
        <f>SUM(B33:B42)</f>
        <v/>
      </c>
      <c r="C43" s="37">
        <f>SUM(C33:C42)</f>
        <v/>
      </c>
      <c r="D43" s="37">
        <f>SUM(D33:D42)</f>
        <v/>
      </c>
      <c r="E43" s="38">
        <f>SUM(E33:E42)</f>
        <v/>
      </c>
    </row>
    <row r="44"/>
    <row r="45">
      <c r="A45" s="1" t="inlineStr">
        <is>
          <t>■ 合計（聖也＋愛弓＋共通、除外を除く）</t>
        </is>
      </c>
    </row>
    <row r="46">
      <c r="A46" s="6" t="inlineStr">
        <is>
          <t>カテゴリ</t>
        </is>
      </c>
      <c r="B46" s="29" t="inlineStr">
        <is>
          <t>GBP 合計</t>
        </is>
      </c>
      <c r="C46" s="29" t="inlineStr">
        <is>
          <t>EUR 合計</t>
        </is>
      </c>
      <c r="D46" s="29" t="inlineStr">
        <is>
          <t>JPY 合計</t>
        </is>
      </c>
      <c r="E46" s="29" t="inlineStr">
        <is>
          <t>JPY換算合計</t>
        </is>
      </c>
    </row>
    <row r="47">
      <c r="A47" s="30" t="inlineStr">
        <is>
          <t>Bills</t>
        </is>
      </c>
      <c r="B47" s="31">
        <f>SUMIFS(統合決済履歴!$C$2:$C$198,統合決済履歴!$G$2:$G$198,"Bills",統合決済履歴!$D$2:$D$198,"GBP",統合決済履歴!$F$2:$F$198,"COMPLETED",統合決済履歴!$J$2:$J$198,"&lt;&gt;除外")</f>
        <v/>
      </c>
      <c r="C47" s="31">
        <f>SUMIFS(統合決済履歴!$C$2:$C$198,統合決済履歴!$G$2:$G$198,"Bills",統合決済履歴!$D$2:$D$198,"EUR",統合決済履歴!$F$2:$F$198,"COMPLETED",統合決済履歴!$J$2:$J$198,"&lt;&gt;除外")</f>
        <v/>
      </c>
      <c r="D47" s="31">
        <f>SUMIFS(統合決済履歴!$C$2:$C$198,統合決済履歴!$G$2:$G$198,"Bills",統合決済履歴!$D$2:$D$198,"JPY",統合決済履歴!$F$2:$F$198,"COMPLETED",統合決済履歴!$J$2:$J$198,"&lt;&gt;除外")</f>
        <v/>
      </c>
      <c r="E47" s="32">
        <f>B47*設定!$B$3+C47*設定!$B$4+D47</f>
        <v/>
      </c>
    </row>
    <row r="48">
      <c r="A48" s="30" t="inlineStr">
        <is>
          <t>Eating out</t>
        </is>
      </c>
      <c r="B48" s="31">
        <f>SUMIFS(統合決済履歴!$C$2:$C$198,統合決済履歴!$G$2:$G$198,"Eating out",統合決済履歴!$D$2:$D$198,"GBP",統合決済履歴!$F$2:$F$198,"COMPLETED",統合決済履歴!$J$2:$J$198,"&lt;&gt;除外")</f>
        <v/>
      </c>
      <c r="C48" s="31">
        <f>SUMIFS(統合決済履歴!$C$2:$C$198,統合決済履歴!$G$2:$G$198,"Eating out",統合決済履歴!$D$2:$D$198,"EUR",統合決済履歴!$F$2:$F$198,"COMPLETED",統合決済履歴!$J$2:$J$198,"&lt;&gt;除外")</f>
        <v/>
      </c>
      <c r="D48" s="31">
        <f>SUMIFS(統合決済履歴!$C$2:$C$198,統合決済履歴!$G$2:$G$198,"Eating out",統合決済履歴!$D$2:$D$198,"JPY",統合決済履歴!$F$2:$F$198,"COMPLETED",統合決済履歴!$J$2:$J$198,"&lt;&gt;除外")</f>
        <v/>
      </c>
      <c r="E48" s="32">
        <f>B48*設定!$B$3+C48*設定!$B$4+D48</f>
        <v/>
      </c>
    </row>
    <row r="49">
      <c r="A49" s="30" t="inlineStr">
        <is>
          <t>Entertainment</t>
        </is>
      </c>
      <c r="B49" s="31">
        <f>SUMIFS(統合決済履歴!$C$2:$C$198,統合決済履歴!$G$2:$G$198,"Entertainment",統合決済履歴!$D$2:$D$198,"GBP",統合決済履歴!$F$2:$F$198,"COMPLETED",統合決済履歴!$J$2:$J$198,"&lt;&gt;除外")</f>
        <v/>
      </c>
      <c r="C49" s="31">
        <f>SUMIFS(統合決済履歴!$C$2:$C$198,統合決済履歴!$G$2:$G$198,"Entertainment",統合決済履歴!$D$2:$D$198,"EUR",統合決済履歴!$F$2:$F$198,"COMPLETED",統合決済履歴!$J$2:$J$198,"&lt;&gt;除外")</f>
        <v/>
      </c>
      <c r="D49" s="31">
        <f>SUMIFS(統合決済履歴!$C$2:$C$198,統合決済履歴!$G$2:$G$198,"Entertainment",統合決済履歴!$D$2:$D$198,"JPY",統合決済履歴!$F$2:$F$198,"COMPLETED",統合決済履歴!$J$2:$J$198,"&lt;&gt;除外")</f>
        <v/>
      </c>
      <c r="E49" s="32">
        <f>B49*設定!$B$3+C49*設定!$B$4+D49</f>
        <v/>
      </c>
    </row>
    <row r="50">
      <c r="A50" s="30" t="inlineStr">
        <is>
          <t>Family</t>
        </is>
      </c>
      <c r="B50" s="31">
        <f>SUMIFS(統合決済履歴!$C$2:$C$198,統合決済履歴!$G$2:$G$198,"Family",統合決済履歴!$D$2:$D$198,"GBP",統合決済履歴!$F$2:$F$198,"COMPLETED",統合決済履歴!$J$2:$J$198,"&lt;&gt;除外")</f>
        <v/>
      </c>
      <c r="C50" s="31">
        <f>SUMIFS(統合決済履歴!$C$2:$C$198,統合決済履歴!$G$2:$G$198,"Family",統合決済履歴!$D$2:$D$198,"EUR",統合決済履歴!$F$2:$F$198,"COMPLETED",統合決済履歴!$J$2:$J$198,"&lt;&gt;除外")</f>
        <v/>
      </c>
      <c r="D50" s="31">
        <f>SUMIFS(統合決済履歴!$C$2:$C$198,統合決済履歴!$G$2:$G$198,"Family",統合決済履歴!$D$2:$D$198,"JPY",統合決済履歴!$F$2:$F$198,"COMPLETED",統合決済履歴!$J$2:$J$198,"&lt;&gt;除外")</f>
        <v/>
      </c>
      <c r="E50" s="32">
        <f>B50*設定!$B$3+C50*設定!$B$4+D50</f>
        <v/>
      </c>
    </row>
    <row r="51">
      <c r="A51" s="30" t="inlineStr">
        <is>
          <t>General</t>
        </is>
      </c>
      <c r="B51" s="31">
        <f>SUMIFS(統合決済履歴!$C$2:$C$198,統合決済履歴!$G$2:$G$198,"General",統合決済履歴!$D$2:$D$198,"GBP",統合決済履歴!$F$2:$F$198,"COMPLETED",統合決済履歴!$J$2:$J$198,"&lt;&gt;除外")</f>
        <v/>
      </c>
      <c r="C51" s="31">
        <f>SUMIFS(統合決済履歴!$C$2:$C$198,統合決済履歴!$G$2:$G$198,"General",統合決済履歴!$D$2:$D$198,"EUR",統合決済履歴!$F$2:$F$198,"COMPLETED",統合決済履歴!$J$2:$J$198,"&lt;&gt;除外")</f>
        <v/>
      </c>
      <c r="D51" s="31">
        <f>SUMIFS(統合決済履歴!$C$2:$C$198,統合決済履歴!$G$2:$G$198,"General",統合決済履歴!$D$2:$D$198,"JPY",統合決済履歴!$F$2:$F$198,"COMPLETED",統合決済履歴!$J$2:$J$198,"&lt;&gt;除外")</f>
        <v/>
      </c>
      <c r="E51" s="32">
        <f>B51*設定!$B$3+C51*設定!$B$4+D51</f>
        <v/>
      </c>
    </row>
    <row r="52">
      <c r="A52" s="30" t="inlineStr">
        <is>
          <t>Groceries</t>
        </is>
      </c>
      <c r="B52" s="31">
        <f>SUMIFS(統合決済履歴!$C$2:$C$198,統合決済履歴!$G$2:$G$198,"Groceries",統合決済履歴!$D$2:$D$198,"GBP",統合決済履歴!$F$2:$F$198,"COMPLETED",統合決済履歴!$J$2:$J$198,"&lt;&gt;除外")</f>
        <v/>
      </c>
      <c r="C52" s="31">
        <f>SUMIFS(統合決済履歴!$C$2:$C$198,統合決済履歴!$G$2:$G$198,"Groceries",統合決済履歴!$D$2:$D$198,"EUR",統合決済履歴!$F$2:$F$198,"COMPLETED",統合決済履歴!$J$2:$J$198,"&lt;&gt;除外")</f>
        <v/>
      </c>
      <c r="D52" s="31">
        <f>SUMIFS(統合決済履歴!$C$2:$C$198,統合決済履歴!$G$2:$G$198,"Groceries",統合決済履歴!$D$2:$D$198,"JPY",統合決済履歴!$F$2:$F$198,"COMPLETED",統合決済履歴!$J$2:$J$198,"&lt;&gt;除外")</f>
        <v/>
      </c>
      <c r="E52" s="32">
        <f>B52*設定!$B$3+C52*設定!$B$4+D52</f>
        <v/>
      </c>
    </row>
    <row r="53">
      <c r="A53" s="30" t="inlineStr">
        <is>
          <t>Money added</t>
        </is>
      </c>
      <c r="B53" s="31">
        <f>SUMIFS(統合決済履歴!$C$2:$C$198,統合決済履歴!$G$2:$G$198,"Money added",統合決済履歴!$D$2:$D$198,"GBP",統合決済履歴!$F$2:$F$198,"COMPLETED",統合決済履歴!$J$2:$J$198,"&lt;&gt;除外")</f>
        <v/>
      </c>
      <c r="C53" s="31">
        <f>SUMIFS(統合決済履歴!$C$2:$C$198,統合決済履歴!$G$2:$G$198,"Money added",統合決済履歴!$D$2:$D$198,"EUR",統合決済履歴!$F$2:$F$198,"COMPLETED",統合決済履歴!$J$2:$J$198,"&lt;&gt;除外")</f>
        <v/>
      </c>
      <c r="D53" s="31">
        <f>SUMIFS(統合決済履歴!$C$2:$C$198,統合決済履歴!$G$2:$G$198,"Money added",統合決済履歴!$D$2:$D$198,"JPY",統合決済履歴!$F$2:$F$198,"COMPLETED",統合決済履歴!$J$2:$J$198,"&lt;&gt;除外")</f>
        <v/>
      </c>
      <c r="E53" s="32">
        <f>B53*設定!$B$3+C53*設定!$B$4+D53</f>
        <v/>
      </c>
    </row>
    <row r="54">
      <c r="A54" s="30" t="inlineStr">
        <is>
          <t>Personal care</t>
        </is>
      </c>
      <c r="B54" s="31">
        <f>SUMIFS(統合決済履歴!$C$2:$C$198,統合決済履歴!$G$2:$G$198,"Personal care",統合決済履歴!$D$2:$D$198,"GBP",統合決済履歴!$F$2:$F$198,"COMPLETED",統合決済履歴!$J$2:$J$198,"&lt;&gt;除外")</f>
        <v/>
      </c>
      <c r="C54" s="31">
        <f>SUMIFS(統合決済履歴!$C$2:$C$198,統合決済履歴!$G$2:$G$198,"Personal care",統合決済履歴!$D$2:$D$198,"EUR",統合決済履歴!$F$2:$F$198,"COMPLETED",統合決済履歴!$J$2:$J$198,"&lt;&gt;除外")</f>
        <v/>
      </c>
      <c r="D54" s="31">
        <f>SUMIFS(統合決済履歴!$C$2:$C$198,統合決済履歴!$G$2:$G$198,"Personal care",統合決済履歴!$D$2:$D$198,"JPY",統合決済履歴!$F$2:$F$198,"COMPLETED",統合決済履歴!$J$2:$J$198,"&lt;&gt;除外")</f>
        <v/>
      </c>
      <c r="E54" s="32">
        <f>B54*設定!$B$3+C54*設定!$B$4+D54</f>
        <v/>
      </c>
    </row>
    <row r="55">
      <c r="A55" s="30" t="inlineStr">
        <is>
          <t>Shopping</t>
        </is>
      </c>
      <c r="B55" s="31">
        <f>SUMIFS(統合決済履歴!$C$2:$C$198,統合決済履歴!$G$2:$G$198,"Shopping",統合決済履歴!$D$2:$D$198,"GBP",統合決済履歴!$F$2:$F$198,"COMPLETED",統合決済履歴!$J$2:$J$198,"&lt;&gt;除外")</f>
        <v/>
      </c>
      <c r="C55" s="31">
        <f>SUMIFS(統合決済履歴!$C$2:$C$198,統合決済履歴!$G$2:$G$198,"Shopping",統合決済履歴!$D$2:$D$198,"EUR",統合決済履歴!$F$2:$F$198,"COMPLETED",統合決済履歴!$J$2:$J$198,"&lt;&gt;除外")</f>
        <v/>
      </c>
      <c r="D55" s="31">
        <f>SUMIFS(統合決済履歴!$C$2:$C$198,統合決済履歴!$G$2:$G$198,"Shopping",統合決済履歴!$D$2:$D$198,"JPY",統合決済履歴!$F$2:$F$198,"COMPLETED",統合決済履歴!$J$2:$J$198,"&lt;&gt;除外")</f>
        <v/>
      </c>
      <c r="E55" s="32">
        <f>B55*設定!$B$3+C55*設定!$B$4+D55</f>
        <v/>
      </c>
    </row>
    <row r="56">
      <c r="A56" s="30" t="inlineStr">
        <is>
          <t>Transport</t>
        </is>
      </c>
      <c r="B56" s="31">
        <f>SUMIFS(統合決済履歴!$C$2:$C$198,統合決済履歴!$G$2:$G$198,"Transport",統合決済履歴!$D$2:$D$198,"GBP",統合決済履歴!$F$2:$F$198,"COMPLETED",統合決済履歴!$J$2:$J$198,"&lt;&gt;除外")</f>
        <v/>
      </c>
      <c r="C56" s="31">
        <f>SUMIFS(統合決済履歴!$C$2:$C$198,統合決済履歴!$G$2:$G$198,"Transport",統合決済履歴!$D$2:$D$198,"EUR",統合決済履歴!$F$2:$F$198,"COMPLETED",統合決済履歴!$J$2:$J$198,"&lt;&gt;除外")</f>
        <v/>
      </c>
      <c r="D56" s="31">
        <f>SUMIFS(統合決済履歴!$C$2:$C$198,統合決済履歴!$G$2:$G$198,"Transport",統合決済履歴!$D$2:$D$198,"JPY",統合決済履歴!$F$2:$F$198,"COMPLETED",統合決済履歴!$J$2:$J$198,"&lt;&gt;除外")</f>
        <v/>
      </c>
      <c r="E56" s="32">
        <f>B56*設定!$B$3+C56*設定!$B$4+D56</f>
        <v/>
      </c>
    </row>
    <row r="57">
      <c r="A57" s="36" t="inlineStr">
        <is>
          <t>合計</t>
        </is>
      </c>
      <c r="B57" s="37">
        <f>SUM(B47:B56)</f>
        <v/>
      </c>
      <c r="C57" s="37">
        <f>SUM(C47:C56)</f>
        <v/>
      </c>
      <c r="D57" s="37">
        <f>SUM(D47:D56)</f>
        <v/>
      </c>
      <c r="E57" s="38">
        <f>SUM(E47:E56)</f>
        <v/>
      </c>
    </row>
    <row r="58"/>
    <row r="59">
      <c r="A59" s="1" t="inlineStr">
        <is>
          <t>■ 除外（参考・合計には含めない）</t>
        </is>
      </c>
    </row>
    <row r="60">
      <c r="A60" s="6" t="inlineStr">
        <is>
          <t>カテゴリ</t>
        </is>
      </c>
      <c r="B60" s="29" t="inlineStr">
        <is>
          <t>GBP 合計</t>
        </is>
      </c>
      <c r="C60" s="29" t="inlineStr">
        <is>
          <t>EUR 合計</t>
        </is>
      </c>
      <c r="D60" s="29" t="inlineStr">
        <is>
          <t>JPY 合計</t>
        </is>
      </c>
      <c r="E60" s="29" t="inlineStr">
        <is>
          <t>JPY換算合計</t>
        </is>
      </c>
    </row>
    <row r="61">
      <c r="A61" s="30" t="inlineStr">
        <is>
          <t>Bills</t>
        </is>
      </c>
      <c r="B61" s="31">
        <f>SUMIFS(統合決済履歴!$C$2:$C$198,統合決済履歴!$G$2:$G$198,"Bills",統合決済履歴!$D$2:$D$198,"GBP",統合決済履歴!$F$2:$F$198,"COMPLETED",統合決済履歴!$J$2:$J$198,"除外")</f>
        <v/>
      </c>
      <c r="C61" s="31">
        <f>SUMIFS(統合決済履歴!$C$2:$C$198,統合決済履歴!$G$2:$G$198,"Bills",統合決済履歴!$D$2:$D$198,"EUR",統合決済履歴!$F$2:$F$198,"COMPLETED",統合決済履歴!$J$2:$J$198,"除外")</f>
        <v/>
      </c>
      <c r="D61" s="31">
        <f>SUMIFS(統合決済履歴!$C$2:$C$198,統合決済履歴!$G$2:$G$198,"Bills",統合決済履歴!$D$2:$D$198,"JPY",統合決済履歴!$F$2:$F$198,"COMPLETED",統合決済履歴!$J$2:$J$198,"除外")</f>
        <v/>
      </c>
      <c r="E61" s="32">
        <f>B61*設定!$B$3+C61*設定!$B$4+D61</f>
        <v/>
      </c>
    </row>
    <row r="62">
      <c r="A62" s="30" t="inlineStr">
        <is>
          <t>Eating out</t>
        </is>
      </c>
      <c r="B62" s="31">
        <f>SUMIFS(統合決済履歴!$C$2:$C$198,統合決済履歴!$G$2:$G$198,"Eating out",統合決済履歴!$D$2:$D$198,"GBP",統合決済履歴!$F$2:$F$198,"COMPLETED",統合決済履歴!$J$2:$J$198,"除外")</f>
        <v/>
      </c>
      <c r="C62" s="31">
        <f>SUMIFS(統合決済履歴!$C$2:$C$198,統合決済履歴!$G$2:$G$198,"Eating out",統合決済履歴!$D$2:$D$198,"EUR",統合決済履歴!$F$2:$F$198,"COMPLETED",統合決済履歴!$J$2:$J$198,"除外")</f>
        <v/>
      </c>
      <c r="D62" s="31">
        <f>SUMIFS(統合決済履歴!$C$2:$C$198,統合決済履歴!$G$2:$G$198,"Eating out",統合決済履歴!$D$2:$D$198,"JPY",統合決済履歴!$F$2:$F$198,"COMPLETED",統合決済履歴!$J$2:$J$198,"除外")</f>
        <v/>
      </c>
      <c r="E62" s="32">
        <f>B62*設定!$B$3+C62*設定!$B$4+D62</f>
        <v/>
      </c>
    </row>
    <row r="63">
      <c r="A63" s="30" t="inlineStr">
        <is>
          <t>Entertainment</t>
        </is>
      </c>
      <c r="B63" s="31">
        <f>SUMIFS(統合決済履歴!$C$2:$C$198,統合決済履歴!$G$2:$G$198,"Entertainment",統合決済履歴!$D$2:$D$198,"GBP",統合決済履歴!$F$2:$F$198,"COMPLETED",統合決済履歴!$J$2:$J$198,"除外")</f>
        <v/>
      </c>
      <c r="C63" s="31">
        <f>SUMIFS(統合決済履歴!$C$2:$C$198,統合決済履歴!$G$2:$G$198,"Entertainment",統合決済履歴!$D$2:$D$198,"EUR",統合決済履歴!$F$2:$F$198,"COMPLETED",統合決済履歴!$J$2:$J$198,"除外")</f>
        <v/>
      </c>
      <c r="D63" s="31">
        <f>SUMIFS(統合決済履歴!$C$2:$C$198,統合決済履歴!$G$2:$G$198,"Entertainment",統合決済履歴!$D$2:$D$198,"JPY",統合決済履歴!$F$2:$F$198,"COMPLETED",統合決済履歴!$J$2:$J$198,"除外")</f>
        <v/>
      </c>
      <c r="E63" s="32">
        <f>B63*設定!$B$3+C63*設定!$B$4+D63</f>
        <v/>
      </c>
    </row>
    <row r="64">
      <c r="A64" s="30" t="inlineStr">
        <is>
          <t>Family</t>
        </is>
      </c>
      <c r="B64" s="31">
        <f>SUMIFS(統合決済履歴!$C$2:$C$198,統合決済履歴!$G$2:$G$198,"Family",統合決済履歴!$D$2:$D$198,"GBP",統合決済履歴!$F$2:$F$198,"COMPLETED",統合決済履歴!$J$2:$J$198,"除外")</f>
        <v/>
      </c>
      <c r="C64" s="31">
        <f>SUMIFS(統合決済履歴!$C$2:$C$198,統合決済履歴!$G$2:$G$198,"Family",統合決済履歴!$D$2:$D$198,"EUR",統合決済履歴!$F$2:$F$198,"COMPLETED",統合決済履歴!$J$2:$J$198,"除外")</f>
        <v/>
      </c>
      <c r="D64" s="31">
        <f>SUMIFS(統合決済履歴!$C$2:$C$198,統合決済履歴!$G$2:$G$198,"Family",統合決済履歴!$D$2:$D$198,"JPY",統合決済履歴!$F$2:$F$198,"COMPLETED",統合決済履歴!$J$2:$J$198,"除外")</f>
        <v/>
      </c>
      <c r="E64" s="32">
        <f>B64*設定!$B$3+C64*設定!$B$4+D64</f>
        <v/>
      </c>
    </row>
    <row r="65">
      <c r="A65" s="30" t="inlineStr">
        <is>
          <t>General</t>
        </is>
      </c>
      <c r="B65" s="31">
        <f>SUMIFS(統合決済履歴!$C$2:$C$198,統合決済履歴!$G$2:$G$198,"General",統合決済履歴!$D$2:$D$198,"GBP",統合決済履歴!$F$2:$F$198,"COMPLETED",統合決済履歴!$J$2:$J$198,"除外")</f>
        <v/>
      </c>
      <c r="C65" s="31">
        <f>SUMIFS(統合決済履歴!$C$2:$C$198,統合決済履歴!$G$2:$G$198,"General",統合決済履歴!$D$2:$D$198,"EUR",統合決済履歴!$F$2:$F$198,"COMPLETED",統合決済履歴!$J$2:$J$198,"除外")</f>
        <v/>
      </c>
      <c r="D65" s="31">
        <f>SUMIFS(統合決済履歴!$C$2:$C$198,統合決済履歴!$G$2:$G$198,"General",統合決済履歴!$D$2:$D$198,"JPY",統合決済履歴!$F$2:$F$198,"COMPLETED",統合決済履歴!$J$2:$J$198,"除外")</f>
        <v/>
      </c>
      <c r="E65" s="32">
        <f>B65*設定!$B$3+C65*設定!$B$4+D65</f>
        <v/>
      </c>
    </row>
    <row r="66">
      <c r="A66" s="30" t="inlineStr">
        <is>
          <t>Groceries</t>
        </is>
      </c>
      <c r="B66" s="31">
        <f>SUMIFS(統合決済履歴!$C$2:$C$198,統合決済履歴!$G$2:$G$198,"Groceries",統合決済履歴!$D$2:$D$198,"GBP",統合決済履歴!$F$2:$F$198,"COMPLETED",統合決済履歴!$J$2:$J$198,"除外")</f>
        <v/>
      </c>
      <c r="C66" s="31">
        <f>SUMIFS(統合決済履歴!$C$2:$C$198,統合決済履歴!$G$2:$G$198,"Groceries",統合決済履歴!$D$2:$D$198,"EUR",統合決済履歴!$F$2:$F$198,"COMPLETED",統合決済履歴!$J$2:$J$198,"除外")</f>
        <v/>
      </c>
      <c r="D66" s="31">
        <f>SUMIFS(統合決済履歴!$C$2:$C$198,統合決済履歴!$G$2:$G$198,"Groceries",統合決済履歴!$D$2:$D$198,"JPY",統合決済履歴!$F$2:$F$198,"COMPLETED",統合決済履歴!$J$2:$J$198,"除外")</f>
        <v/>
      </c>
      <c r="E66" s="32">
        <f>B66*設定!$B$3+C66*設定!$B$4+D66</f>
        <v/>
      </c>
    </row>
    <row r="67">
      <c r="A67" s="30" t="inlineStr">
        <is>
          <t>Money added</t>
        </is>
      </c>
      <c r="B67" s="31">
        <f>SUMIFS(統合決済履歴!$C$2:$C$198,統合決済履歴!$G$2:$G$198,"Money added",統合決済履歴!$D$2:$D$198,"GBP",統合決済履歴!$F$2:$F$198,"COMPLETED",統合決済履歴!$J$2:$J$198,"除外")</f>
        <v/>
      </c>
      <c r="C67" s="31">
        <f>SUMIFS(統合決済履歴!$C$2:$C$198,統合決済履歴!$G$2:$G$198,"Money added",統合決済履歴!$D$2:$D$198,"EUR",統合決済履歴!$F$2:$F$198,"COMPLETED",統合決済履歴!$J$2:$J$198,"除外")</f>
        <v/>
      </c>
      <c r="D67" s="31">
        <f>SUMIFS(統合決済履歴!$C$2:$C$198,統合決済履歴!$G$2:$G$198,"Money added",統合決済履歴!$D$2:$D$198,"JPY",統合決済履歴!$F$2:$F$198,"COMPLETED",統合決済履歴!$J$2:$J$198,"除外")</f>
        <v/>
      </c>
      <c r="E67" s="32">
        <f>B67*設定!$B$3+C67*設定!$B$4+D67</f>
        <v/>
      </c>
    </row>
    <row r="68">
      <c r="A68" s="30" t="inlineStr">
        <is>
          <t>Personal care</t>
        </is>
      </c>
      <c r="B68" s="31">
        <f>SUMIFS(統合決済履歴!$C$2:$C$198,統合決済履歴!$G$2:$G$198,"Personal care",統合決済履歴!$D$2:$D$198,"GBP",統合決済履歴!$F$2:$F$198,"COMPLETED",統合決済履歴!$J$2:$J$198,"除外")</f>
        <v/>
      </c>
      <c r="C68" s="31">
        <f>SUMIFS(統合決済履歴!$C$2:$C$198,統合決済履歴!$G$2:$G$198,"Personal care",統合決済履歴!$D$2:$D$198,"EUR",統合決済履歴!$F$2:$F$198,"COMPLETED",統合決済履歴!$J$2:$J$198,"除外")</f>
        <v/>
      </c>
      <c r="D68" s="31">
        <f>SUMIFS(統合決済履歴!$C$2:$C$198,統合決済履歴!$G$2:$G$198,"Personal care",統合決済履歴!$D$2:$D$198,"JPY",統合決済履歴!$F$2:$F$198,"COMPLETED",統合決済履歴!$J$2:$J$198,"除外")</f>
        <v/>
      </c>
      <c r="E68" s="32">
        <f>B68*設定!$B$3+C68*設定!$B$4+D68</f>
        <v/>
      </c>
    </row>
    <row r="69">
      <c r="A69" s="30" t="inlineStr">
        <is>
          <t>Shopping</t>
        </is>
      </c>
      <c r="B69" s="31">
        <f>SUMIFS(統合決済履歴!$C$2:$C$198,統合決済履歴!$G$2:$G$198,"Shopping",統合決済履歴!$D$2:$D$198,"GBP",統合決済履歴!$F$2:$F$198,"COMPLETED",統合決済履歴!$J$2:$J$198,"除外")</f>
        <v/>
      </c>
      <c r="C69" s="31">
        <f>SUMIFS(統合決済履歴!$C$2:$C$198,統合決済履歴!$G$2:$G$198,"Shopping",統合決済履歴!$D$2:$D$198,"EUR",統合決済履歴!$F$2:$F$198,"COMPLETED",統合決済履歴!$J$2:$J$198,"除外")</f>
        <v/>
      </c>
      <c r="D69" s="31">
        <f>SUMIFS(統合決済履歴!$C$2:$C$198,統合決済履歴!$G$2:$G$198,"Shopping",統合決済履歴!$D$2:$D$198,"JPY",統合決済履歴!$F$2:$F$198,"COMPLETED",統合決済履歴!$J$2:$J$198,"除外")</f>
        <v/>
      </c>
      <c r="E69" s="32">
        <f>B69*設定!$B$3+C69*設定!$B$4+D69</f>
        <v/>
      </c>
    </row>
    <row r="70">
      <c r="A70" s="30" t="inlineStr">
        <is>
          <t>Transport</t>
        </is>
      </c>
      <c r="B70" s="31">
        <f>SUMIFS(統合決済履歴!$C$2:$C$198,統合決済履歴!$G$2:$G$198,"Transport",統合決済履歴!$D$2:$D$198,"GBP",統合決済履歴!$F$2:$F$198,"COMPLETED",統合決済履歴!$J$2:$J$198,"除外")</f>
        <v/>
      </c>
      <c r="C70" s="31">
        <f>SUMIFS(統合決済履歴!$C$2:$C$198,統合決済履歴!$G$2:$G$198,"Transport",統合決済履歴!$D$2:$D$198,"EUR",統合決済履歴!$F$2:$F$198,"COMPLETED",統合決済履歴!$J$2:$J$198,"除外")</f>
        <v/>
      </c>
      <c r="D70" s="31">
        <f>SUMIFS(統合決済履歴!$C$2:$C$198,統合決済履歴!$G$2:$G$198,"Transport",統合決済履歴!$D$2:$D$198,"JPY",統合決済履歴!$F$2:$F$198,"COMPLETED",統合決済履歴!$J$2:$J$198,"除外")</f>
        <v/>
      </c>
      <c r="E70" s="32">
        <f>B70*設定!$B$3+C70*設定!$B$4+D70</f>
        <v/>
      </c>
    </row>
    <row r="71">
      <c r="A71" s="36" t="inlineStr">
        <is>
          <t>合計</t>
        </is>
      </c>
      <c r="B71" s="37">
        <f>SUM(B61:B70)</f>
        <v/>
      </c>
      <c r="C71" s="37">
        <f>SUM(C61:C70)</f>
        <v/>
      </c>
      <c r="D71" s="37">
        <f>SUM(D61:D70)</f>
        <v/>
      </c>
      <c r="E71" s="38">
        <f>SUM(E61:E70)</f>
        <v/>
      </c>
    </row>
    <row r="74">
      <c r="A74" s="53" t="inlineStr">
        <is>
          <t>※全ての月のデータを合算した集計です。データを追加するたびに自動更新されます。</t>
        </is>
      </c>
    </row>
    <row r="100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2026-08-29T20:45:52Z</dcterms:created>
  <dcterms:modified xsi:type="dcterms:W3CDTF">2026-10-03T12:36:21Z</dcterms:modified>
  <cp:lastModifiedBy>聖也 溝口</cp:lastModifiedBy>
  <cp:revision>0</cp:revision>
</cp:coreProperties>
</file>